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srd"/>
  <workbookPr/>
  <bookViews>
    <workbookView activeTab="0" xWindow="240" yWindow="60" windowWidth="0" windowHeight="0" tabRatio="500"/>
  </bookViews>
  <sheets>
    <sheet name="Rental_prop_proforma" sheetId="1" r:id="rId4"/>
    <sheet name="Readme" sheetId="2" r:id="rId5"/>
  </sheets>
  <calcPr/>
  <extLst>
    <ext uri="smNativeData">
      <pm:revision xmlns:pm="smNativeData" day="1775607099" val="1230" rev="124" revOS="4" revMin="124" revMax="0"/>
      <pm:docPrefs xmlns:pm="smNativeData" id="1775607099" fixedDigits="0" showNotice="1" showFrameBounds="1" autoChart="1" recalcOnPrint="1" recalcOnCopy="1" finalRounding="1" compatTextArt="1" tab="567" useDefinedPrintRange="1" printArea="currentSheet"/>
      <pm:compatibility xmlns:pm="smNativeData" id="1775607099" overlapCells="1"/>
      <pm:defCurrency xmlns:pm="smNativeData" id="1775607099"/>
    </ext>
  </extLst>
</workbook>
</file>

<file path=xl/sharedStrings.xml><?xml version="1.0" encoding="utf-8"?>
<sst xmlns="http://schemas.openxmlformats.org/spreadsheetml/2006/main" count="239" uniqueCount="239">
  <si>
    <t>APM RENTAL PROPERTY DEAL ANALYZER</t>
  </si>
  <si>
    <t>Green Cells- you can edit and customize. Yellows are calculated cells</t>
  </si>
  <si>
    <t>PROPERTY DETAILS</t>
  </si>
  <si>
    <t>Address</t>
  </si>
  <si>
    <t>123 Landlord St, Portsmouth VA</t>
  </si>
  <si>
    <t>Property address</t>
  </si>
  <si>
    <t>Purchase Price</t>
  </si>
  <si>
    <t>Assessed Value</t>
  </si>
  <si>
    <t>City assessed value for tax calc</t>
  </si>
  <si>
    <t>Down Payment</t>
  </si>
  <si>
    <t>Down Payment %</t>
  </si>
  <si>
    <t>Loan Interest Rate %</t>
  </si>
  <si>
    <t>Loan Term (Years)</t>
  </si>
  <si>
    <t>Loan Amount</t>
  </si>
  <si>
    <t>Bring Cash to Closing</t>
  </si>
  <si>
    <t>Purchase-loan-cc-prepairs (2-6.5-10,11)</t>
  </si>
  <si>
    <t>Investment $$</t>
  </si>
  <si>
    <t>(2,10,11,20)</t>
  </si>
  <si>
    <t>LOC Amount (optional)</t>
  </si>
  <si>
    <t>Line of credit</t>
  </si>
  <si>
    <t>LOC Interest Rate %</t>
  </si>
  <si>
    <t>Out of Pocket $</t>
  </si>
  <si>
    <t xml:space="preserve">Cash to close + Repairs and holding </t>
  </si>
  <si>
    <t>LOC Term (Years)</t>
  </si>
  <si>
    <t>CLOSING COSTS</t>
  </si>
  <si>
    <t>Prepaid Items</t>
  </si>
  <si>
    <t xml:space="preserve">9 months ins+taxes prepaid </t>
  </si>
  <si>
    <t>Editable</t>
  </si>
  <si>
    <t>Closing Costs</t>
  </si>
  <si>
    <t>Title, fees, stamps</t>
  </si>
  <si>
    <t>Editable</t>
  </si>
  <si>
    <t>ANNUAL EXPENSES</t>
  </si>
  <si>
    <t>Property Tax Rate (per $100)</t>
  </si>
  <si>
    <t>Portsmouth=1.32 VB=0.99 Ches=1.04 Norfolk=1.25</t>
  </si>
  <si>
    <t>Annual Property Taxes</t>
  </si>
  <si>
    <t>Annual Insurance</t>
  </si>
  <si>
    <t>Monthly Maintenance</t>
  </si>
  <si>
    <t>Annual Maintenance</t>
  </si>
  <si>
    <t>INCOME &amp; GROWTH</t>
  </si>
  <si>
    <t>Monthly Rent</t>
  </si>
  <si>
    <t>Annual Rent Increase %</t>
  </si>
  <si>
    <t xml:space="preserve">Conservative default. </t>
  </si>
  <si>
    <t>Expense Inflation %</t>
  </si>
  <si>
    <t>Property Value Growth %</t>
  </si>
  <si>
    <t>REHAB &amp; VACANCY</t>
  </si>
  <si>
    <t>Time for initial repairs (months)</t>
  </si>
  <si>
    <t>Initial Repairs / Rehab</t>
  </si>
  <si>
    <t>Estimate upon purchase to get property ready to rent</t>
  </si>
  <si>
    <t>Vacancy in Months</t>
  </si>
  <si>
    <t>vacant months/year; reduces income</t>
  </si>
  <si>
    <t>TAX ASSUMPTIONS</t>
  </si>
  <si>
    <t>Tax Bracket %</t>
  </si>
  <si>
    <t>Land Value %</t>
  </si>
  <si>
    <t>Land not depreciable</t>
  </si>
  <si>
    <t>CALCULATED RESULTS</t>
  </si>
  <si>
    <t>VISUAL SUMMARY</t>
  </si>
  <si>
    <t>Monthly Mortgage Payment</t>
  </si>
  <si>
    <t>Metric</t>
  </si>
  <si>
    <t>Value</t>
  </si>
  <si>
    <t>Quick read</t>
  </si>
  <si>
    <t>Metric</t>
  </si>
  <si>
    <t>Value</t>
  </si>
  <si>
    <t>Quick read</t>
  </si>
  <si>
    <t>Monthly LOC Payment</t>
  </si>
  <si>
    <t>Cash Invested</t>
  </si>
  <si>
    <t>Down Pmt, CC, Repairs</t>
  </si>
  <si>
    <t>Cap Rate</t>
  </si>
  <si>
    <t>Monthly Taxes</t>
  </si>
  <si>
    <t>NOI</t>
  </si>
  <si>
    <t>includes vacancy</t>
  </si>
  <si>
    <t>CoC Return</t>
  </si>
  <si>
    <t>Monthly Insurance</t>
  </si>
  <si>
    <t>DSCR</t>
  </si>
  <si>
    <t>Debt service coverage</t>
  </si>
  <si>
    <t>LTV</t>
  </si>
  <si>
    <t>Total Monthly (all payments)</t>
  </si>
  <si>
    <t>1% Rule</t>
  </si>
  <si>
    <t>Fast rent-to-price screen</t>
  </si>
  <si>
    <t>Breakeven Price</t>
  </si>
  <si>
    <t>Year 1 After-Debt / Mo</t>
  </si>
  <si>
    <t>Monthly cash flow</t>
  </si>
  <si>
    <t>Tax Saved / (Cost)</t>
  </si>
  <si>
    <t>Out of Pocket</t>
  </si>
  <si>
    <t>Repairs</t>
  </si>
  <si>
    <t>Repairs to make rentable</t>
  </si>
  <si>
    <t>Vacancy Months</t>
  </si>
  <si>
    <t>initial Vacancy Carry</t>
  </si>
  <si>
    <t>Total Capital Investment</t>
  </si>
  <si>
    <t>COMMENTS</t>
  </si>
  <si>
    <t>Before buying, verify whether management, turnover, utilities, reserves, HOA, and leasing costs should also be included.</t>
  </si>
  <si>
    <t>Annual Depreciation</t>
  </si>
  <si>
    <t>Vacancy is  modeled as months lost each year, which makes annual income more realistic.</t>
  </si>
  <si>
    <t>Effective Annual Rent</t>
  </si>
  <si>
    <t>After vacancy allowance</t>
  </si>
  <si>
    <t>Repairs estimate represents the upfront spend needed to make the unit rent-ready after purchase.</t>
  </si>
  <si>
    <t>Gross Scheduled Rent</t>
  </si>
  <si>
    <t>Before vacancy</t>
  </si>
  <si>
    <t>KEY PERFORMANCE METRICS</t>
  </si>
  <si>
    <t>DSCR detail (lender view)</t>
  </si>
  <si>
    <t>Net Operating Income (NOI)</t>
  </si>
  <si>
    <t>Rent after annual vacancy minus operating expenses (before debt)</t>
  </si>
  <si>
    <t>Annual debt service (total)</t>
  </si>
  <si>
    <t>Cap Rate</t>
  </si>
  <si>
    <t>NOI/Price. 5-10% typical</t>
  </si>
  <si>
    <t>DSCR (mortgage only)</t>
  </si>
  <si>
    <t>Cash-on-Cash Return</t>
  </si>
  <si>
    <t>Annual cash flow after debt divided by total cash invested</t>
  </si>
  <si>
    <t>Year 1 DSCR (projection)</t>
  </si>
  <si>
    <t>Gross Rent Multiplier</t>
  </si>
  <si>
    <t>Price/Annual Rent. Lower=better</t>
  </si>
  <si>
    <t>Cushion vs 1.25 (total DSCR)</t>
  </si>
  <si>
    <t>1% Rule Test</t>
  </si>
  <si>
    <t>Monthly Rent / Price. &gt;=1% passes</t>
  </si>
  <si>
    <t>Meets typical 1.25 test?</t>
  </si>
  <si>
    <t>DSCR</t>
  </si>
  <si>
    <t>Target &gt;= 1.20; lower values mean tighter debt coverage</t>
  </si>
  <si>
    <t>LTV</t>
  </si>
  <si>
    <t>Loan-to-value. Lower is safer and more financeable</t>
  </si>
  <si>
    <t>Rent allocation (annual)</t>
  </si>
  <si>
    <t>Operating Expense Ratio</t>
  </si>
  <si>
    <t>Operating expenses as a share of effective rent</t>
  </si>
  <si>
    <t>Operating expenses</t>
  </si>
  <si>
    <t>Debt service</t>
  </si>
  <si>
    <t>BREAKEVEN ANALYSIS</t>
  </si>
  <si>
    <t>Cash after debt</t>
  </si>
  <si>
    <t>Max Monthly Payment</t>
  </si>
  <si>
    <t>NOI available for mortgage</t>
  </si>
  <si>
    <t>Max Loan at Breakeven</t>
  </si>
  <si>
    <t>Max loan at zero cash flow</t>
  </si>
  <si>
    <t>MAX PURCHASE PRICE</t>
  </si>
  <si>
    <t>Modeled breakeven purchase price at zero cash flow</t>
  </si>
  <si>
    <t>Margin Below Breakeven</t>
  </si>
  <si>
    <t>Higher = safer margin</t>
  </si>
  <si>
    <t>6-YEAR PROJECTION</t>
  </si>
  <si>
    <t>Year 1</t>
  </si>
  <si>
    <t>Year 2</t>
  </si>
  <si>
    <t>Year 3</t>
  </si>
  <si>
    <t>Year 4</t>
  </si>
  <si>
    <t>Year 5</t>
  </si>
  <si>
    <t>Year 6</t>
  </si>
  <si>
    <t>6-Yr Total</t>
  </si>
  <si>
    <t>Rental Income</t>
  </si>
  <si>
    <t>Insurance</t>
  </si>
  <si>
    <t>Property Taxes</t>
  </si>
  <si>
    <t>Repairs/Maintenance</t>
  </si>
  <si>
    <t>Mortgage Interest (est)</t>
  </si>
  <si>
    <t>Total Operating Expenses</t>
  </si>
  <si>
    <t>NOI / Cash Flow Before Debt</t>
  </si>
  <si>
    <t>Cash Flow (Monthly)</t>
  </si>
  <si>
    <t>ROI Before Tax</t>
  </si>
  <si>
    <t>Annual Debt Payments (Mtg+LOC)</t>
  </si>
  <si>
    <t>Cash After All Payments (Monthly)</t>
  </si>
  <si>
    <t>TAX DEDUCTIONS</t>
  </si>
  <si>
    <t>Depreciation</t>
  </si>
  <si>
    <t>Taxable Income</t>
  </si>
  <si>
    <t>Tax Saved / (Tax Cost)</t>
  </si>
  <si>
    <t>NET WORTH BUILDING</t>
  </si>
  <si>
    <t>After-Tax Cash Flow</t>
  </si>
  <si>
    <t>Property Value</t>
  </si>
  <si>
    <t>After-Tax ROI</t>
  </si>
  <si>
    <t>APM (Assistant Property Manager) — https://jsrd12-apm.github.io</t>
  </si>
  <si>
    <t>YEAR 1 MONTHLY CASH FLOW</t>
  </si>
  <si>
    <t>Month</t>
  </si>
  <si>
    <t>Rent Collected</t>
  </si>
  <si>
    <t>Operating Expenses (Tax+Ins+Maint)</t>
  </si>
  <si>
    <t>NOI Before Debt</t>
  </si>
  <si>
    <t>Debt Service</t>
  </si>
  <si>
    <t>After-Debt Cash Flow</t>
  </si>
  <si>
    <t>Comment</t>
  </si>
  <si>
    <t>Year 1 Total</t>
  </si>
  <si>
    <t>Other opex (ins+tax) — chart helper</t>
  </si>
  <si>
    <t>Proforma Review – Long-Term Rental Template</t>
  </si>
  <si>
    <t>Starter model with useful core metrics. use at your own risk and adjust values as needed for your own market/ situation.</t>
  </si>
  <si>
    <t>Current snapshot from model</t>
  </si>
  <si>
    <t>Cap Rate</t>
  </si>
  <si>
    <t>Target often 5%–10%+</t>
  </si>
  <si>
    <t>Strong on paper</t>
  </si>
  <si>
    <t>Review</t>
  </si>
  <si>
    <t>Cash-on-Cash Return</t>
  </si>
  <si>
    <t>Target often 8%–12%+</t>
  </si>
  <si>
    <t>Strong on paper</t>
  </si>
  <si>
    <t>Review</t>
  </si>
  <si>
    <t>DSCR</t>
  </si>
  <si>
    <t>Lenders often want ≥1.20</t>
  </si>
  <si>
    <t>Pass</t>
  </si>
  <si>
    <t>Review</t>
  </si>
  <si>
    <t>LTV</t>
  </si>
  <si>
    <t>Conventional investor loans often ≤75%–80%</t>
  </si>
  <si>
    <t>High risk</t>
  </si>
  <si>
    <t>High</t>
  </si>
  <si>
    <t>Cash After Debt (Yr 1 / mo)</t>
  </si>
  <si>
    <t>Positive preferred</t>
  </si>
  <si>
    <t>Negative in model</t>
  </si>
  <si>
    <t>High</t>
  </si>
  <si>
    <t>Category</t>
  </si>
  <si>
    <t>Observation</t>
  </si>
  <si>
    <t>Why it matters</t>
  </si>
  <si>
    <t>Suggested improvement</t>
  </si>
  <si>
    <t>Priority</t>
  </si>
  <si>
    <t>Model structure</t>
  </si>
  <si>
    <t>Everything sits on one sheet, which is easy to start with but harder to audit as the model grows.</t>
  </si>
  <si>
    <t>Users can accidentally overwrite formulas, and inputs/outputs are harder to scan quickly.</t>
  </si>
  <si>
    <t>Split into Assumptions, Financing, Operating Statement, Projection, and Dashboard tabs. Lock formula cells and keep only inputs editable.</t>
  </si>
  <si>
    <t>Medium</t>
  </si>
  <si>
    <t>Financing</t>
  </si>
  <si>
    <t>The current setup shows a 2.0% down payment and 98.0% LTV.</t>
  </si>
  <si>
    <t>That is unusually aggressive for a long-term rental and can make the deal look better than what most lenders will allow.</t>
  </si>
  <si>
    <t>Add lender-ready assumptions for down payment %, origination points, reserves, and loan fees. Highlight LTV above 80% with a warning.</t>
  </si>
  <si>
    <t>High</t>
  </si>
  <si>
    <t>Operating expenses</t>
  </si>
  <si>
    <t>The proforma includes taxes, insurance, and maintenance, but not vacancy, management fee, capex reserve, turnover/leasing, HOA, utilities, or admin.</t>
  </si>
  <si>
    <t>Missing expense lines can materially overstate NOI, cash flow, and cash-on-cash return.</t>
  </si>
  <si>
    <t>Expand operating expenses and allow both fixed-dollar and % of rent assumptions. A vacancy line is especially important for long-term rentals.</t>
  </si>
  <si>
    <t>High</t>
  </si>
  <si>
    <t>Debt presentation</t>
  </si>
  <si>
    <t>The model shows payment and an estimated interest line, but it does not separately show principal paydown or a loan amortization schedule.</t>
  </si>
  <si>
    <t>Principal reduction is part of total return and helps explain equity build over time.</t>
  </si>
  <si>
    <t>Add an amortization schedule with beginning balance, interest, principal, ending balance, and cumulative principal paid.</t>
  </si>
  <si>
    <t>Medium</t>
  </si>
  <si>
    <t>Tax section</t>
  </si>
  <si>
    <t>The tax rows are labeled 'Tax Deduction' and 'Tax Saved', but the values display as negative amounts in the current example.</t>
  </si>
  <si>
    <t>Negative 'tax saved' wording is confusing and may be interpreted incorrectly.</t>
  </si>
  <si>
    <t>Rename to Taxable Income/(Loss) and Tax Impact, or reverse the sign convention so benefits display as positive savings only when applicable.</t>
  </si>
  <si>
    <t>High</t>
  </si>
  <si>
    <t>Exit analysis</t>
  </si>
  <si>
    <t>The model is focused on hold-period operations and does not show disposition assumptions.</t>
  </si>
  <si>
    <t>Investors often need levered IRR, equity multiple, projected sale proceeds, and payoff balance—not just annual cash flow.</t>
  </si>
  <si>
    <t>Add an exit section with sale price growth, selling costs, loan payoff, net sale proceeds, IRR, and equity multiple.</t>
  </si>
  <si>
    <t>Medium</t>
  </si>
  <si>
    <t>Sensitivity / scenarios</t>
  </si>
  <si>
    <t>Results currently rely on one base-case set of assumptions.</t>
  </si>
  <si>
    <t>Rental deals are very sensitive to purchase price, rent, rehab, vacancy, and interest rate.</t>
  </si>
  <si>
    <t>Add best/base/worst case scenarios and a 2-way sensitivity table for rent vs purchase price or rent vs interest rate.</t>
  </si>
  <si>
    <t>Medium</t>
  </si>
  <si>
    <t>Visual design</t>
  </si>
  <si>
    <t>The core model is functional, but the most important outputs are still buried in the worksheet.</t>
  </si>
  <si>
    <t>A cleaner visual summary improves speed of review and makes lender/investor conversations easier.</t>
  </si>
  <si>
    <t>Add KPI cards, traffic-light status checks, a cash-flow trend chart, and an income-vs-expense chart. A starter version is included on the next sheet.</t>
  </si>
  <si>
    <t>Low</t>
  </si>
</sst>
</file>

<file path=xl/styles.xml><?xml version="1.0" encoding="utf-8"?>
<styleSheet xmlns="http://schemas.openxmlformats.org/spreadsheetml/2006/main">
  <numFmts count="2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(_$* #,##0.00_);_(_$* \(#,##0.00\);_(_$* &quot;-&quot;????_);_(@_)"/>
    <numFmt numFmtId="165" formatCode="_(_$* #,##0_);_(_$* \(#,##0\);_(_$* &quot;-&quot;_);_(@_)"/>
    <numFmt numFmtId="166" formatCode="_(&quot;$&quot;* #,##0.00_);_(&quot;$&quot;* \(#,##0.00\);_(&quot;$&quot;* &quot;-&quot;????_);_(@_)"/>
    <numFmt numFmtId="167" formatCode="0.0%"/>
    <numFmt numFmtId="168" formatCode="\$#,##0.00"/>
    <numFmt numFmtId="169" formatCode="[$$-409]#,##0.00_);([$$-409]#,##0.00)"/>
    <numFmt numFmtId="170" formatCode="$#,##0.00"/>
    <numFmt numFmtId="171" formatCode="0.0"/>
    <numFmt numFmtId="172" formatCode="_(&quot;$&quot;* #,##0_);_(&quot;$&quot;* \(#,##0\);_(&quot;$&quot;* &quot;-&quot;_);_(@_)"/>
    <numFmt numFmtId="9" formatCode="0%"/>
    <numFmt numFmtId="2" formatCode="0.00"/>
    <numFmt numFmtId="49" formatCode="@"/>
    <numFmt numFmtId="10" formatCode="0.00%"/>
    <numFmt numFmtId="4" formatCode="#,##0.00"/>
    <numFmt numFmtId="1" formatCode="0"/>
  </numFmts>
  <fonts count="25">
    <font>
      <name val="Arial"/>
      <family val="2"/>
      <color rgb="FF000000"/>
      <sz val="10"/>
      <extLst>
        <ext uri="smNativeData">
          <pm:charSpec xmlns:pm="smNativeData" id="177560709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7560709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B1D3A"/>
      <sz val="10"/>
      <extLst>
        <ext uri="smNativeData">
          <pm:charSpec xmlns:pm="smNativeData" id="1775607099" fgClr="0B1D3A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75607099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i/>
      <color rgb="FF666666"/>
      <sz val="10"/>
      <extLst>
        <ext uri="smNativeData">
          <pm:charSpec xmlns:pm="smNativeData" id="1775607099" fgClr="666666" ulstyle="none" kern="1">
            <pm:latin face="Calibri" sz="200" lang="default" i="1"/>
            <pm:cs face="Times New Roman" sz="200" lang="default" i="1"/>
            <pm:ea face="SimSun" sz="200" lang="default" i="1"/>
          </pm:charSpec>
        </ext>
      </extLst>
    </font>
    <font>
      <name val="Calibri"/>
      <family val="2"/>
      <b/>
      <color rgb="FFFFFFFF"/>
      <sz val="10"/>
      <extLst>
        <ext uri="smNativeData">
          <pm:charSpec xmlns:pm="smNativeData" id="1775607099" fgClr="FFFFFF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FF999999"/>
      <sz val="10"/>
      <extLst>
        <ext uri="smNativeData">
          <pm:charSpec xmlns:pm="smNativeData" id="1775607099" fgClr="999999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333333"/>
      <sz val="10"/>
      <extLst>
        <ext uri="smNativeData">
          <pm:charSpec xmlns:pm="smNativeData" id="1775607099" fgClr="333333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FF0000FF"/>
      <sz val="10"/>
      <extLst>
        <ext uri="smNativeData">
          <pm:charSpec xmlns:pm="smNativeData" id="1775607099" fgClr="0000FF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1D4ED8"/>
      <sz val="10"/>
      <extLst>
        <ext uri="smNativeData">
          <pm:charSpec xmlns:pm="smNativeData" id="1775607099" fgClr="1D4ED8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i/>
      <color rgb="FF666666"/>
      <sz val="9"/>
      <extLst>
        <ext uri="smNativeData">
          <pm:charSpec xmlns:pm="smNativeData" id="1775607099" fgClr="666666" ulstyle="none" kern="1">
            <pm:latin face="Arial" sz="180" lang="default" i="1"/>
            <pm:cs face="Times New Roman" sz="180" lang="default" i="1"/>
            <pm:ea face="SimSun" sz="180" lang="default" i="1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75607099" fgClr="FFFFF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1F1F1F"/>
      <sz val="10"/>
      <extLst>
        <ext uri="smNativeData">
          <pm:charSpec xmlns:pm="smNativeData" id="1775607099" fgClr="1F1F1F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b/>
      <color rgb="FF123B6D"/>
      <sz val="10"/>
      <extLst>
        <ext uri="smNativeData">
          <pm:charSpec xmlns:pm="smNativeData" id="1775607099" fgClr="123B6D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FF1F1F1F"/>
      <sz val="10"/>
      <extLst>
        <ext uri="smNativeData">
          <pm:charSpec xmlns:pm="smNativeData" id="1775607099" fgClr="1F1F1F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75607099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b/>
      <color rgb="FFFFFFFF"/>
      <sz val="16"/>
      <extLst>
        <ext uri="smNativeData">
          <pm:charSpec xmlns:pm="smNativeData" id="1775607099" fgClr="FFFFFF" ulstyle="none" kern="1">
            <pm:latin face="Calibri" sz="320" lang="default" weight="bold"/>
            <pm:cs face="Times New Roman" sz="320" lang="default" weight="bold"/>
            <pm:ea face="SimSun" sz="320" lang="default" weight="bold"/>
          </pm:charSpec>
        </ext>
      </extLst>
    </font>
    <font>
      <name val="Calibri"/>
      <family val="2"/>
      <i/>
      <color rgb="FF1F2937"/>
      <sz val="11"/>
      <extLst>
        <ext uri="smNativeData">
          <pm:charSpec xmlns:pm="smNativeData" id="1775607099" fgClr="1F2937" ulstyle="none" kern="1">
            <pm:latin face="Calibri" sz="220" lang="default" i="1"/>
            <pm:cs face="Times New Roman" sz="220" lang="default" i="1"/>
            <pm:ea face="SimSun" sz="220" lang="default" i="1"/>
          </pm:charSpec>
        </ext>
      </extLst>
    </font>
    <font>
      <name val="Calibri"/>
      <family val="2"/>
      <b/>
      <color rgb="FF0F2747"/>
      <sz val="11"/>
      <extLst>
        <ext uri="smNativeData">
          <pm:charSpec xmlns:pm="smNativeData" id="1775607099" fgClr="0F274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7C2D12"/>
      <sz val="11"/>
      <extLst>
        <ext uri="smNativeData">
          <pm:charSpec xmlns:pm="smNativeData" id="1775607099" fgClr="7C2D12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123B6D"/>
      <sz val="8"/>
      <extLst>
        <ext uri="smNativeData">
          <pm:charSpec xmlns:pm="smNativeData" id="1775607099" fgClr="123B6D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Arial"/>
      <family val="2"/>
      <b/>
      <color rgb="FF000000"/>
      <sz val="11"/>
      <extLst>
        <ext uri="smNativeData">
          <pm:charSpec xmlns:pm="smNativeData" id="1775607099" ulstyle="none" kern="1">
            <pm:latin face="Arial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i/>
      <color rgb="FF666666"/>
      <sz val="12"/>
      <extLst>
        <ext uri="smNativeData">
          <pm:charSpec xmlns:pm="smNativeData" id="1775607099" fgClr="666666" ulstyle="none" kern="1">
            <pm:latin face="Calibri" sz="240" lang="default" weight="bold" i="1"/>
            <pm:cs face="Times New Roman" sz="200" lang="default" i="1"/>
            <pm:ea face="SimSun" sz="200" lang="default" i="1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75607099" ulstyle="none" kern="1">
            <pm:latin face="Calibri" sz="240" lang="default" weight="bold"/>
            <pm:cs face="Times New Roman" sz="220" lang="default"/>
            <pm:ea face="SimSun" sz="220" lang="default"/>
          </pm:charSpec>
        </ext>
      </extLst>
    </font>
    <font>
      <name val="Arial"/>
      <family val="2"/>
      <b/>
      <color rgb="FF000000"/>
      <sz val="12"/>
      <extLst>
        <ext uri="smNativeData">
          <pm:charSpec xmlns:pm="smNativeData" id="1775607099" ulstyle="none" kern="1">
            <pm:latin face="Arial" sz="240" lang="default" weight="bold"/>
            <pm:cs face="Times New Roman" sz="200" lang="default"/>
            <pm:ea face="SimSun" sz="200" lang="default"/>
          </pm:charSpec>
        </ext>
      </extLst>
    </font>
  </fonts>
  <fills count="29">
    <fill>
      <patternFill patternType="none"/>
    </fill>
    <fill>
      <patternFill patternType="gray125"/>
    </fill>
    <fill>
      <patternFill patternType="solid">
        <fgColor rgb="FF0B1F44"/>
        <bgColor rgb="FFFFFFFF"/>
        <extLst>
          <ext uri="smNativeData">
            <pm:shade xmlns:pm="smNativeData" id="1775607099" type="1" fgLvl="100" fgClr="000B1F44" bgLvl="0" bgClr="00FFFFFF"/>
          </ext>
        </extLst>
      </patternFill>
    </fill>
    <fill>
      <patternFill patternType="solid">
        <fgColor rgb="FFFFFDEB"/>
        <bgColor rgb="FFFFFFFF"/>
        <extLst>
          <ext uri="smNativeData">
            <pm:shade xmlns:pm="smNativeData" id="1775607099" type="1" fgLvl="100" fgClr="00FFFDEB" bgLvl="0" bgClr="00FFFFFF"/>
          </ext>
        </extLst>
      </patternFill>
    </fill>
    <fill>
      <patternFill patternType="solid">
        <fgColor rgb="FF123B6D"/>
        <bgColor rgb="FFFFFFFF"/>
        <extLst>
          <ext uri="smNativeData">
            <pm:shade xmlns:pm="smNativeData" id="1775607099" type="1" fgLvl="100" fgClr="00123B6D" bgLvl="0" bgClr="00FFFFFF"/>
          </ext>
        </extLst>
      </patternFill>
    </fill>
    <fill>
      <patternFill patternType="solid">
        <fgColor rgb="FFDCE6F1"/>
        <bgColor rgb="FFFFFFFF"/>
        <extLst>
          <ext uri="smNativeData">
            <pm:shade xmlns:pm="smNativeData" id="1775607099" type="1" fgLvl="100" fgClr="00DCE6F1" bgLvl="0" bgClr="00FFFFFF"/>
          </ext>
        </extLst>
      </patternFill>
    </fill>
    <fill>
      <patternFill patternType="solid">
        <fgColor rgb="FFF7FBFF"/>
        <bgColor rgb="FFFFFFFF"/>
        <extLst>
          <ext uri="smNativeData">
            <pm:shade xmlns:pm="smNativeData" id="1775607099" type="1" fgLvl="100" fgClr="00F7FB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5607099" type="1" fgLvl="100" fgClr="00FFFFFF" bgLvl="0" bgClr="00FFFFFF"/>
          </ext>
        </extLst>
      </patternFill>
    </fill>
    <fill>
      <patternFill patternType="solid">
        <fgColor rgb="FFF3F7FB"/>
        <bgColor rgb="FFFFFFFF"/>
        <extLst>
          <ext uri="smNativeData">
            <pm:shade xmlns:pm="smNativeData" id="1775607099" type="1" fgLvl="100" fgClr="00F3F7FB" bgLvl="0" bgClr="00FFFFFF"/>
          </ext>
        </extLst>
      </patternFill>
    </fill>
    <fill>
      <patternFill patternType="solid">
        <fgColor rgb="FF1F5A99"/>
        <bgColor rgb="FFFFFFFF"/>
        <extLst>
          <ext uri="smNativeData">
            <pm:shade xmlns:pm="smNativeData" id="1775607099" type="1" fgLvl="100" fgClr="001F5A99" bgLvl="0" bgClr="00FFFFFF"/>
          </ext>
        </extLst>
      </patternFill>
    </fill>
    <fill>
      <patternFill patternType="none"/>
    </fill>
    <fill>
      <patternFill patternType="solid">
        <fgColor rgb="FF0F2747"/>
        <bgColor rgb="FFFFFFFF"/>
        <extLst>
          <ext uri="smNativeData">
            <pm:shade xmlns:pm="smNativeData" id="1775607099" type="1" fgLvl="100" fgClr="000F2747" bgLvl="0" bgClr="00FFFFFF"/>
          </ext>
        </extLst>
      </patternFill>
    </fill>
    <fill>
      <patternFill patternType="solid">
        <fgColor rgb="FFEAF2F8"/>
        <bgColor rgb="FFFFFFFF"/>
        <extLst>
          <ext uri="smNativeData">
            <pm:shade xmlns:pm="smNativeData" id="1775607099" type="1" fgLvl="100" fgClr="00EAF2F8" bgLvl="0" bgClr="00FFFFFF"/>
          </ext>
        </extLst>
      </patternFill>
    </fill>
    <fill>
      <patternFill patternType="solid">
        <fgColor rgb="FFD9EAF7"/>
        <bgColor rgb="FFFFFFFF"/>
        <extLst>
          <ext uri="smNativeData">
            <pm:shade xmlns:pm="smNativeData" id="1775607099" type="1" fgLvl="100" fgClr="00D9EAF7" bgLvl="0" bgClr="00FFFFFF"/>
          </ext>
        </extLst>
      </patternFill>
    </fill>
    <fill>
      <patternFill patternType="solid">
        <fgColor rgb="FFFFF7ED"/>
        <bgColor rgb="FFFFFFFF"/>
        <extLst>
          <ext uri="smNativeData">
            <pm:shade xmlns:pm="smNativeData" id="1775607099" type="1" fgLvl="100" fgClr="00FFF7ED" bgLvl="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5607099" type="1" fgLvl="100" fgClr="00FFFF00" bgLvl="0" bgClr="00FFFFFF"/>
          </ext>
        </extLst>
      </patternFill>
    </fill>
    <fill>
      <patternFill patternType="solid">
        <fgColor rgb="FFE7F3EA"/>
        <bgColor rgb="FFFFFFFF"/>
        <extLst>
          <ext uri="smNativeData">
            <pm:shade xmlns:pm="smNativeData" id="1775607099" type="1" fgLvl="100" fgClr="00E7F3EA" bgLvl="0" bgClr="00FFFFFF"/>
          </ext>
        </extLst>
      </patternFill>
    </fill>
    <fill>
      <patternFill patternType="solid">
        <fgColor rgb="FFD9E6F2"/>
        <bgColor rgb="FFFFFFFF"/>
        <extLst>
          <ext uri="smNativeData">
            <pm:shade xmlns:pm="smNativeData" id="1775607099" type="1" fgLvl="100" fgClr="00D9E6F2" bgLvl="0" bgClr="00FFFFFF"/>
          </ext>
        </extLst>
      </patternFill>
    </fill>
    <fill>
      <patternFill patternType="solid">
        <fgColor rgb="FFE8F1EA"/>
        <bgColor rgb="FFFFFFFF"/>
        <extLst>
          <ext uri="smNativeData">
            <pm:shade xmlns:pm="smNativeData" id="1775607099" type="1" fgLvl="100" fgClr="00E8F1EA" bgLvl="0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75607099" type="1" fgLvl="100" fgClr="009EFFFF" bgLvl="0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75607099" type="1" fgLvl="100" fgClr="009EFFFF" bgLvl="0" bgClr="00FFFFFF"/>
          </ext>
        </extLst>
      </patternFill>
    </fill>
    <fill>
      <patternFill patternType="solid">
        <fgColor rgb="FF9EFF9E"/>
        <bgColor rgb="FFFFFFFF"/>
        <extLst>
          <ext uri="smNativeData">
            <pm:shade xmlns:pm="smNativeData" id="1775607099" type="1" fgLvl="100" fgClr="009EFF9E" bgLvl="0" bgClr="00FFFFFF"/>
          </ext>
        </extLst>
      </patternFill>
    </fill>
    <fill>
      <patternFill patternType="solid">
        <fgColor rgb="FF9EFF9E"/>
        <bgColor rgb="FFFFFFFF"/>
        <extLst>
          <ext uri="smNativeData">
            <pm:shade xmlns:pm="smNativeData" id="1775607099" type="1" fgLvl="100" fgClr="009EFF9E" bgLvl="0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5607099" type="1" fgLvl="100" fgClr="00FFFF9E" bgLvl="0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5607099" type="1" fgLvl="100" fgClr="00FFFF9E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E2EFDA"/>
        <bgColor rgb="FFFFFFFF"/>
        <extLst>
          <ext uri="smNativeData">
            <pm:shade xmlns:pm="smNativeData" id="1775607099" type="1" fgLvl="100" fgClr="00E2EFDA" bgLvl="0" bgClr="00E2EFDA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5607099" type="1" fgLvl="100" fgClr="00FFFFFF" bgLvl="100" bgClr="00000000"/>
          </ext>
        </extLst>
      </patternFill>
    </fill>
  </fills>
  <borders count="2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extLst>
        <ext uri="smNativeData">
          <pm:border xmlns:pm="smNativeData" id="1775607099">
            <pm:line position="top" type="1" style="0" width="20" dist="20" width2="20" rgb="D1D5DB"/>
            <pm:line position="bottom" type="1" style="0" width="20" dist="20" width2="20" rgb="D1D5DB"/>
            <pm:line position="left" type="1" style="0" width="20" dist="20" width2="20" rgb="D1D5DB"/>
            <pm:line position="right" type="1" style="0" width="20" dist="20" width2="20" rgb="D1D5D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extLst>
        <ext uri="smNativeData">
          <pm:border xmlns:pm="smNativeData" id="1775607099">
            <pm:line position="top" type="1" style="0" width="20" dist="20" width2="20" rgb="D1D5DB"/>
            <pm:line position="bottom" type="1" style="0" width="20" dist="20" width2="20" rgb="D1D5DB"/>
            <pm:line position="left" type="1" style="0" width="20" dist="20" width2="20" rgb="D1D5DB"/>
            <pm:line position="right" type="1" style="0" width="20" dist="20" width2="20" rgb="D1D5D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extLst>
        <ext uri="smNativeData">
          <pm:border xmlns:pm="smNativeData" id="1775607099">
            <pm:line position="top" type="1" style="0" width="20" dist="20" width2="20" rgb="D1D5DB"/>
            <pm:line position="bottom" type="1" style="0" width="20" dist="20" width2="20" rgb="D1D5DB"/>
            <pm:line position="left" type="1" style="0" width="20" dist="20" width2="20" rgb="D1D5DB"/>
            <pm:line position="right" type="1" style="0" width="20" dist="20" width2="20" rgb="D1D5D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extLst>
        <ext uri="smNativeData">
          <pm:border xmlns:pm="smNativeData" id="1775607099">
            <pm:line position="top" type="1" style="0" width="20" dist="20" width2="20" rgb="D1D5DB"/>
            <pm:line position="bottom" type="1" style="0" width="20" dist="20" width2="20" rgb="D1D5DB"/>
            <pm:line position="left" type="1" style="0" width="20" dist="20" width2="20" rgb="D1D5DB"/>
            <pm:line position="right" type="1" style="0" width="20" dist="20" width2="20" rgb="D1D5DB"/>
          </pm:border>
        </ext>
      </extLs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extLst>
        <ext uri="smNativeData">
          <pm:border xmlns:pm="smNativeData" id="1775607099">
            <pm:line position="top" type="1" style="0" width="20" dist="20" width2="20" rgb="D1D5DB"/>
            <pm:line position="bottom" type="1" style="0" width="20" dist="20" width2="20" rgb="D1D5DB"/>
            <pm:line position="left" type="1" style="0" width="20" dist="20" width2="20" rgb="D1D5DB"/>
            <pm:line position="right" type="1" style="0" width="20" dist="20" width2="20" rgb="D1D5DB"/>
          </pm:border>
        </ext>
      </extLs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extLst>
        <ext uri="smNativeData">
          <pm:border xmlns:pm="smNativeData" id="1775607099">
            <pm:line position="top" type="1" style="0" width="20" dist="20" width2="20" rgb="CCCCCC"/>
            <pm:line position="bottom" type="1" style="0" width="20" dist="20" width2="20" rgb="CCCCCC"/>
            <pm:line position="left" type="1" style="0" width="20" dist="20" width2="20" rgb="CCCCCC"/>
            <pm:line position="right" type="1" style="0" width="20" dist="20" width2="20" rgb="CCCCCC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extLst>
        <ext uri="smNativeData">
          <pm:border xmlns:pm="smNativeData" id="1775607099">
            <pm:line position="top" type="1" style="0" width="20" dist="20" width2="20" rgb="CCCCCC"/>
            <pm:line position="bottom" type="1" style="0" width="20" dist="20" width2="20" rgb="CCCCCC"/>
            <pm:line position="left" type="1" style="0" width="20" dist="20" width2="20" rgb="CCCCCC"/>
            <pm:line position="right" type="1" style="0" width="20" dist="20" width2="20" rgb="CCCCCC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extLst>
        <ext uri="smNativeData">
          <pm:border xmlns:pm="smNativeData" id="1775607099">
            <pm:line position="top" type="1" style="0" width="20" dist="20" width2="20" rgb="CCCCCC"/>
            <pm:line position="bottom" type="1" style="0" width="20" dist="20" width2="20" rgb="CCCCCC"/>
            <pm:line position="left" type="1" style="0" width="20" dist="20" width2="20" rgb="CCCCCC"/>
            <pm:line position="right" type="1" style="0" width="20" dist="20" width2="20" rgb="CCCCCC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5607099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5607099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607099"/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0" fillId="0" borderId="0" applyNumberFormat="1" applyFont="1" applyFill="1" applyBorder="1" applyAlignment="1" applyProtection="1"/>
    <xf numFmtId="165" fontId="0" fillId="0" borderId="0" applyNumberFormat="1" applyFont="1" applyFill="1" applyBorder="1" applyAlignment="1" applyProtection="1"/>
    <xf numFmtId="166" fontId="0" fillId="0" borderId="0" applyNumberFormat="1" applyFont="1" applyFill="1" applyBorder="1" applyAlignment="1" applyProtection="1"/>
    <xf numFmtId="172" fontId="0" fillId="0" borderId="0" applyNumberFormat="1" applyFont="1" applyFill="1" applyBorder="1" applyAlignment="1" applyProtection="1"/>
    <xf numFmtId="9" fontId="0" fillId="0" borderId="0" applyNumberFormat="1" applyFont="1" applyFill="1" applyBorder="1" applyAlignment="1" applyProtection="1"/>
  </cellStyleXfs>
  <cellXfs count="91">
    <xf numFmtId="0" fontId="0" fillId="0" borderId="0" xfId="0"/>
    <xf numFmtId="164" fontId="0" fillId="0" borderId="0" xfId="1"/>
    <xf numFmtId="165" fontId="0" fillId="0" borderId="0" xfId="2"/>
    <xf numFmtId="166" fontId="0" fillId="0" borderId="0" xfId="3"/>
    <xf numFmtId="172" fontId="0" fillId="0" borderId="0" xfId="4"/>
    <xf numFmtId="9" fontId="0" fillId="0" borderId="0" xfId="5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167" fontId="9" fillId="3" borderId="2" xfId="0" applyNumberFormat="1" applyFont="1" applyFill="1" applyAlignment="1">
      <alignment vertical="center" wrapText="1"/>
    </xf>
    <xf numFmtId="0" fontId="11" fillId="4" borderId="3" xfId="0" applyFont="1" applyFill="1" applyAlignment="1">
      <alignment horizontal="left" vertical="center" wrapText="1"/>
    </xf>
    <xf numFmtId="0" fontId="12" fillId="5" borderId="4" xfId="0" applyFont="1" applyFill="1" applyAlignment="1">
      <alignment horizontal="center" vertical="center" wrapText="1"/>
    </xf>
    <xf numFmtId="0" fontId="13" fillId="6" borderId="5" xfId="0" applyFont="1" applyFill="1" applyBorder="1" applyAlignment="1">
      <alignment vertical="center" wrapText="1"/>
    </xf>
    <xf numFmtId="0" fontId="14" fillId="6" borderId="5" xfId="0" applyFont="1" applyFill="1" applyBorder="1" applyAlignment="1">
      <alignment vertical="center" wrapText="1"/>
    </xf>
    <xf numFmtId="167" fontId="14" fillId="6" borderId="5" xfId="0" applyNumberFormat="1" applyFont="1" applyFill="1" applyBorder="1" applyAlignment="1">
      <alignment horizontal="right" vertical="center" wrapText="1"/>
    </xf>
    <xf numFmtId="2" fontId="14" fillId="6" borderId="5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4" fillId="7" borderId="6" xfId="0" applyFont="1" applyFill="1" applyAlignment="1">
      <alignment vertical="center" wrapText="1"/>
    </xf>
    <xf numFmtId="0" fontId="14" fillId="7" borderId="6" xfId="0" applyFont="1" applyFill="1"/>
    <xf numFmtId="0" fontId="13" fillId="8" borderId="7" xfId="0" applyFont="1" applyFill="1" applyBorder="1" applyAlignment="1">
      <alignment vertical="center" wrapText="1"/>
    </xf>
    <xf numFmtId="0" fontId="14" fillId="8" borderId="7" xfId="0" applyFont="1" applyFill="1" applyBorder="1" applyAlignment="1">
      <alignment vertical="center" wrapText="1"/>
    </xf>
    <xf numFmtId="0" fontId="5" fillId="9" borderId="8" xfId="0" applyFont="1" applyFill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6" fillId="11" borderId="10" xfId="0" applyFont="1" applyFill="1" applyAlignment="1">
      <alignment horizontal="center" vertical="center"/>
    </xf>
    <xf numFmtId="0" fontId="17" fillId="12" borderId="11" xfId="0" applyFont="1" applyFill="1" applyAlignment="1">
      <alignment vertical="center" wrapText="1"/>
    </xf>
    <xf numFmtId="0" fontId="18" fillId="13" borderId="12" xfId="0" applyFont="1" applyFill="1"/>
    <xf numFmtId="49" fontId="1" fillId="0" borderId="0" xfId="0" applyNumberFormat="1" applyFont="1"/>
    <xf numFmtId="167" fontId="1" fillId="0" borderId="0" xfId="0" applyNumberFormat="1" applyFont="1"/>
    <xf numFmtId="2" fontId="1" fillId="0" borderId="0" xfId="0" applyNumberFormat="1" applyFont="1"/>
    <xf numFmtId="168" fontId="1" fillId="0" borderId="0" xfId="0" applyNumberFormat="1" applyFont="1"/>
    <xf numFmtId="0" fontId="11" fillId="11" borderId="10" xfId="0" applyFont="1" applyFill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9" fillId="14" borderId="13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169" fontId="3" fillId="15" borderId="14" xfId="0" applyNumberFormat="1" applyFont="1" applyFill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0" fillId="6" borderId="5" xfId="0" applyFont="1" applyFill="1" applyBorder="1" applyAlignment="1">
      <alignment vertical="center" wrapText="1"/>
    </xf>
    <xf numFmtId="170" fontId="14" fillId="7" borderId="6" xfId="0" applyNumberFormat="1" applyFont="1" applyFill="1"/>
    <xf numFmtId="170" fontId="3" fillId="0" borderId="0" xfId="0" applyNumberFormat="1" applyFont="1" applyAlignment="1">
      <alignment vertical="center" wrapText="1"/>
    </xf>
    <xf numFmtId="170" fontId="3" fillId="0" borderId="0" xfId="0" applyNumberFormat="1" applyFont="1" applyAlignment="1">
      <alignment horizontal="right" vertical="center" wrapText="1"/>
    </xf>
    <xf numFmtId="170" fontId="3" fillId="0" borderId="9" xfId="0" applyNumberFormat="1" applyFont="1" applyBorder="1" applyAlignment="1">
      <alignment vertical="center" wrapText="1"/>
    </xf>
    <xf numFmtId="167" fontId="12" fillId="16" borderId="15" xfId="0" applyNumberFormat="1" applyFont="1" applyFill="1" applyAlignment="1">
      <alignment vertical="center" wrapText="1"/>
    </xf>
    <xf numFmtId="167" fontId="13" fillId="6" borderId="5" xfId="0" applyNumberFormat="1" applyFont="1" applyFill="1" applyBorder="1" applyAlignment="1">
      <alignment vertical="center" wrapText="1"/>
    </xf>
    <xf numFmtId="167" fontId="1" fillId="0" borderId="0" xfId="0" applyNumberFormat="1" applyFont="1" applyAlignment="1">
      <alignment vertical="center" wrapText="1"/>
    </xf>
    <xf numFmtId="170" fontId="14" fillId="6" borderId="5" xfId="0" applyNumberFormat="1" applyFont="1" applyFill="1" applyBorder="1" applyAlignment="1">
      <alignment horizontal="right" vertical="center" wrapText="1"/>
    </xf>
    <xf numFmtId="170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horizontal="right" vertical="center" wrapText="1"/>
    </xf>
    <xf numFmtId="0" fontId="15" fillId="17" borderId="16" xfId="0" applyFont="1" applyFill="1" applyBorder="1" applyAlignment="1">
      <alignment horizontal="center" vertical="center" wrapText="1"/>
    </xf>
    <xf numFmtId="0" fontId="15" fillId="18" borderId="17" xfId="0" applyFont="1" applyFill="1" applyBorder="1" applyAlignment="1">
      <alignment vertical="center" wrapText="1"/>
    </xf>
    <xf numFmtId="170" fontId="15" fillId="18" borderId="17" xfId="0" applyNumberFormat="1" applyFont="1" applyFill="1" applyBorder="1" applyAlignment="1">
      <alignment vertical="center" wrapText="1"/>
    </xf>
    <xf numFmtId="10" fontId="14" fillId="6" borderId="5" xfId="0" applyNumberFormat="1" applyFont="1" applyFill="1" applyBorder="1" applyAlignment="1">
      <alignment horizontal="right" vertical="center" wrapText="1"/>
    </xf>
    <xf numFmtId="4" fontId="14" fillId="6" borderId="5" xfId="0" applyNumberFormat="1" applyFont="1" applyFill="1" applyBorder="1" applyAlignment="1">
      <alignment horizontal="right" vertical="center" wrapText="1"/>
    </xf>
    <xf numFmtId="1" fontId="14" fillId="6" borderId="5" xfId="0" applyNumberFormat="1" applyFont="1" applyFill="1" applyBorder="1" applyAlignment="1">
      <alignment horizontal="right" vertical="center" wrapText="1"/>
    </xf>
    <xf numFmtId="170" fontId="3" fillId="19" borderId="18" xfId="0" applyNumberFormat="1" applyFont="1" applyFill="1" applyBorder="1" applyAlignment="1">
      <alignment vertical="center" wrapText="1"/>
    </xf>
    <xf numFmtId="170" fontId="12" fillId="19" borderId="18" xfId="0" applyNumberFormat="1" applyFont="1" applyFill="1" applyBorder="1" applyAlignment="1">
      <alignment vertical="center" wrapText="1"/>
    </xf>
    <xf numFmtId="168" fontId="12" fillId="19" borderId="18" xfId="0" applyNumberFormat="1" applyFont="1" applyFill="1" applyBorder="1" applyAlignment="1">
      <alignment vertical="center" wrapText="1"/>
    </xf>
    <xf numFmtId="168" fontId="12" fillId="20" borderId="19" xfId="0" applyNumberFormat="1" applyFont="1" applyFill="1" applyAlignment="1">
      <alignment vertical="center" wrapText="1"/>
    </xf>
    <xf numFmtId="167" fontId="12" fillId="19" borderId="18" xfId="0" applyNumberFormat="1" applyFont="1" applyFill="1" applyBorder="1" applyAlignment="1">
      <alignment vertical="center" wrapText="1"/>
    </xf>
    <xf numFmtId="170" fontId="3" fillId="20" borderId="19" xfId="0" applyNumberFormat="1" applyFont="1" applyFill="1" applyAlignment="1">
      <alignment horizontal="right" vertical="center" wrapText="1"/>
    </xf>
    <xf numFmtId="170" fontId="10" fillId="20" borderId="19" xfId="0" applyNumberFormat="1" applyFont="1" applyFill="1" applyAlignment="1">
      <alignment horizontal="right" vertical="center" wrapText="1"/>
    </xf>
    <xf numFmtId="167" fontId="3" fillId="20" borderId="19" xfId="0" applyNumberFormat="1" applyFont="1" applyFill="1" applyAlignment="1">
      <alignment horizontal="right" vertical="center" wrapText="1"/>
    </xf>
    <xf numFmtId="170" fontId="0" fillId="20" borderId="19" xfId="0" applyNumberFormat="1" applyFill="1"/>
    <xf numFmtId="0" fontId="8" fillId="21" borderId="20" xfId="0" applyFont="1" applyFill="1" applyBorder="1" applyAlignment="1" applyProtection="1">
      <alignment vertical="center" wrapText="1"/>
      <protection locked="0" hidden="0"/>
    </xf>
    <xf numFmtId="170" fontId="9" fillId="21" borderId="20" xfId="0" applyNumberFormat="1" applyFont="1" applyFill="1" applyBorder="1" applyAlignment="1" applyProtection="1">
      <alignment vertical="center" wrapText="1"/>
      <protection locked="0" hidden="0"/>
    </xf>
    <xf numFmtId="167" fontId="3" fillId="21" borderId="20" xfId="0" applyNumberFormat="1" applyFont="1" applyFill="1" applyBorder="1" applyAlignment="1" applyProtection="1">
      <alignment vertical="center" wrapText="1"/>
      <protection locked="0" hidden="0"/>
    </xf>
    <xf numFmtId="171" fontId="9" fillId="21" borderId="20" xfId="0" applyNumberFormat="1" applyFont="1" applyFill="1" applyBorder="1" applyAlignment="1" applyProtection="1">
      <alignment vertical="center" wrapText="1"/>
      <protection locked="0" hidden="0"/>
    </xf>
    <xf numFmtId="170" fontId="3" fillId="21" borderId="20" xfId="0" applyNumberFormat="1" applyFont="1" applyFill="1" applyBorder="1" applyAlignment="1" applyProtection="1">
      <alignment vertical="center" wrapText="1"/>
      <protection locked="0" hidden="0"/>
    </xf>
    <xf numFmtId="1" fontId="9" fillId="21" borderId="20" xfId="0" applyNumberFormat="1" applyFont="1" applyFill="1" applyBorder="1" applyAlignment="1" applyProtection="1">
      <alignment vertical="center" wrapText="1"/>
      <protection locked="0" hidden="0"/>
    </xf>
    <xf numFmtId="4" fontId="9" fillId="21" borderId="20" xfId="0" applyNumberFormat="1" applyFont="1" applyFill="1" applyBorder="1" applyAlignment="1" applyProtection="1">
      <alignment vertical="center" wrapText="1"/>
      <protection locked="0" hidden="0"/>
    </xf>
    <xf numFmtId="167" fontId="9" fillId="21" borderId="20" xfId="0" applyNumberFormat="1" applyFont="1" applyFill="1" applyBorder="1" applyAlignment="1" applyProtection="1">
      <alignment vertical="center" wrapText="1"/>
      <protection locked="0" hidden="0"/>
    </xf>
    <xf numFmtId="4" fontId="9" fillId="22" borderId="21" xfId="0" applyNumberFormat="1" applyFont="1" applyFill="1" applyAlignment="1" applyProtection="1">
      <alignment vertical="center" wrapText="1"/>
      <protection locked="0" hidden="0"/>
    </xf>
    <xf numFmtId="167" fontId="8" fillId="21" borderId="20" xfId="0" applyNumberFormat="1" applyFont="1" applyFill="1" applyBorder="1" applyAlignment="1" applyProtection="1">
      <alignment vertical="center" wrapText="1"/>
      <protection locked="0" hidden="0"/>
    </xf>
    <xf numFmtId="170" fontId="3" fillId="23" borderId="22" xfId="0" applyNumberFormat="1" applyFont="1" applyFill="1" applyAlignment="1" applyProtection="1">
      <alignment vertical="center" wrapText="1"/>
      <protection locked="0" hidden="0"/>
    </xf>
    <xf numFmtId="170" fontId="3" fillId="24" borderId="23" xfId="0" applyNumberFormat="1" applyFont="1" applyFill="1" applyBorder="1" applyAlignment="1" applyProtection="1">
      <alignment vertical="center" wrapText="1"/>
      <protection locked="0" hidden="0"/>
    </xf>
    <xf numFmtId="0" fontId="0" fillId="0" borderId="24" xfId="0" applyBorder="1"/>
    <xf numFmtId="0" fontId="0" fillId="0" borderId="25" xfId="0" applyBorder="1"/>
    <xf numFmtId="0" fontId="21" fillId="0" borderId="0" xfId="0" applyFont="1"/>
    <xf numFmtId="0" fontId="0" fillId="27" borderId="26" xfId="0" applyFill="1"/>
    <xf numFmtId="9" fontId="0" fillId="0" borderId="0" xfId="0" applyNumberFormat="1"/>
    <xf numFmtId="0" fontId="22" fillId="0" borderId="0" xfId="0" applyFont="1" applyAlignment="1">
      <alignment vertical="center" wrapText="1"/>
    </xf>
    <xf numFmtId="0" fontId="23" fillId="0" borderId="0" xfId="0" applyFont="1"/>
    <xf numFmtId="0" fontId="24" fillId="0" borderId="0" xfId="0" applyFont="1"/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dxfs count="9">
    <dxf>
      <fill>
        <patternFill patternType="solid">
          <bgColor rgb="FFC6EFCE"/>
          <extLst>
            <ext uri="smNativeData">
              <pm:shade xmlns:pm="smNativeData" id="1775607099" type="1" fgLvl="100" fgClr="00C6EFCE" bgLvl="0" bgClr="00C6EFCE"/>
            </ext>
          </extLst>
        </patternFill>
      </fill>
    </dxf>
    <dxf>
      <fill>
        <patternFill patternType="solid">
          <bgColor rgb="FFFFEB9C"/>
          <extLst>
            <ext uri="smNativeData">
              <pm:shade xmlns:pm="smNativeData" id="1775607099" type="1" fgLvl="100" fgClr="00FFEB9C" bgLvl="0" bgClr="00FFEB9C"/>
            </ext>
          </extLst>
        </patternFill>
      </fill>
    </dxf>
    <dxf>
      <fill>
        <patternFill patternType="solid">
          <bgColor rgb="FFFFC7CE"/>
          <extLst>
            <ext uri="smNativeData">
              <pm:shade xmlns:pm="smNativeData" id="1775607099" type="1" fgLvl="100" fgClr="00FFC7CE" bgLvl="0" bgClr="00FFC7CE"/>
            </ext>
          </extLst>
        </patternFill>
      </fill>
    </dxf>
    <dxf>
      <fill>
        <patternFill patternType="solid">
          <bgColor rgb="FFC6EFCE"/>
          <extLst>
            <ext uri="smNativeData">
              <pm:shade xmlns:pm="smNativeData" id="1775607099" type="1" fgLvl="100" fgClr="00C6EFCE" bgLvl="0" bgClr="00C6EFCE"/>
            </ext>
          </extLst>
        </patternFill>
      </fill>
    </dxf>
    <dxf>
      <fill>
        <patternFill patternType="solid">
          <bgColor rgb="FFFFEB9C"/>
          <extLst>
            <ext uri="smNativeData">
              <pm:shade xmlns:pm="smNativeData" id="1775607099" type="1" fgLvl="100" fgClr="00FFEB9C" bgLvl="0" bgClr="00FFEB9C"/>
            </ext>
          </extLst>
        </patternFill>
      </fill>
    </dxf>
    <dxf>
      <fill>
        <patternFill patternType="solid">
          <bgColor rgb="FFFFC7CE"/>
          <extLst>
            <ext uri="smNativeData">
              <pm:shade xmlns:pm="smNativeData" id="1775607099" type="1" fgLvl="100" fgClr="00FFC7CE" bgLvl="0" bgClr="00FFC7CE"/>
            </ext>
          </extLst>
        </patternFill>
      </fill>
    </dxf>
    <dxf>
      <font>
        <b/>
        <color rgb="FF991B1B"/>
        <extLst>
          <ext uri="smNativeData">
            <pm:charSpec xmlns:pm="smNativeData" id="1775607099" fgClr="991B1B">
              <pm:latin weight="bold"/>
              <pm:cs weight="bold"/>
              <pm:ea weight="bold"/>
            </pm:charSpec>
          </ext>
        </extLst>
      </font>
      <fill>
        <patternFill patternType="solid">
          <bgColor rgb="FFFECACA"/>
          <extLst>
            <ext uri="smNativeData">
              <pm:shade xmlns:pm="smNativeData" id="1775607099" type="1" fgLvl="0" fgClr="00000000" bgLvl="100" bgClr="00FECACA"/>
            </ext>
          </extLst>
        </patternFill>
      </fill>
    </dxf>
    <dxf>
      <font>
        <b/>
        <color rgb="FF92400E"/>
        <extLst>
          <ext uri="smNativeData">
            <pm:charSpec xmlns:pm="smNativeData" id="1775607099" fgClr="92400E">
              <pm:latin weight="bold"/>
              <pm:cs weight="bold"/>
              <pm:ea weight="bold"/>
            </pm:charSpec>
          </ext>
        </extLst>
      </font>
      <fill>
        <patternFill patternType="solid">
          <bgColor rgb="FFFEF3C7"/>
          <extLst>
            <ext uri="smNativeData">
              <pm:shade xmlns:pm="smNativeData" id="1775607099" type="1" fgLvl="0" fgClr="00000000" bgLvl="100" bgClr="00FEF3C7"/>
            </ext>
          </extLst>
        </patternFill>
      </fill>
    </dxf>
    <dxf>
      <font>
        <b/>
        <color rgb="FF166534"/>
        <extLst>
          <ext uri="smNativeData">
            <pm:charSpec xmlns:pm="smNativeData" id="1775607099" fgClr="166534">
              <pm:latin weight="bold"/>
              <pm:cs weight="bold"/>
              <pm:ea weight="bold"/>
            </pm:charSpec>
          </ext>
        </extLst>
      </font>
      <fill>
        <patternFill patternType="solid">
          <bgColor rgb="FFDCFCE7"/>
          <extLst>
            <ext uri="smNativeData">
              <pm:shade xmlns:pm="smNativeData" id="1775607099" type="1" fgLvl="0" fgClr="00000000" bgLvl="100" bgClr="00DCFCE7"/>
            </ext>
          </extLst>
        </patternFill>
      </fill>
    </dxf>
  </dxfs>
  <tableStyles count="0"/>
  <extLst>
    <ext uri="smNativeData">
      <pm:charStyles xmlns:pm="smNativeData" id="1775607099" count="1">
        <pm:charStyle name="Normal" fontId="0" Id="1"/>
      </pm:charStyles>
      <pm:colors xmlns:pm="smNativeData" id="1775607099" count="33">
        <pm:color name="Color 24" rgb="0B1D3A"/>
        <pm:color name="Color 25" rgb="1D4ED8"/>
        <pm:color name="Color 26" rgb="1F1F1F"/>
        <pm:color name="Color 27" rgb="123B6D"/>
        <pm:color name="Color 28" rgb="1F2937"/>
        <pm:color name="Color 29" rgb="0F2747"/>
        <pm:color name="Color 30" rgb="7C2D12"/>
        <pm:color name="Color 31" rgb="0B1F44"/>
        <pm:color name="Color 32" rgb="FFFDEB"/>
        <pm:color name="Color 33" rgb="DCE6F1"/>
        <pm:color name="Color 34" rgb="F7FBFF"/>
        <pm:color name="Color 35" rgb="F3F7FB"/>
        <pm:color name="Color 36" rgb="1F5A99"/>
        <pm:color name="Color 37" rgb="EAF2F8"/>
        <pm:color name="Color 38" rgb="D9EAF7"/>
        <pm:color name="Color 39" rgb="FFF7ED"/>
        <pm:color name="Color 40" rgb="E7F3EA"/>
        <pm:color name="Color 41" rgb="D9E6F2"/>
        <pm:color name="Color 42" rgb="E8F1EA"/>
        <pm:color name="Color 43" rgb="9EFFFF"/>
        <pm:color name="Color 44" rgb="9EFF9E"/>
        <pm:color name="Color 45" rgb="FFFF9E"/>
        <pm:color name="Color 46" rgb="E2EFDA"/>
        <pm:color name="Color 47" rgb="D1D5DB"/>
        <pm:color name="Color 48" rgb="991B1B"/>
        <pm:color name="Color 49" rgb="FECACA"/>
        <pm:color name="Color 50" rgb="92400E"/>
        <pm:color name="Color 51" rgb="FEF3C7"/>
        <pm:color name="Color 52" rgb="166534"/>
        <pm:color name="Color 53" rgb="DCFCE7"/>
        <pm:color name="Color 54" rgb="C6EFCE"/>
        <pm:color name="Color 55" rgb="FFEB9C"/>
        <pm:color name="Color 56" rgb="FFC7C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/>
    </c:plotArea>
    <c:legend>
      <c:legendPos val="r"/>
      <c:layout/>
      <c:overlay val="0"/>
      <c:spPr>
        <a:ln>
          <a:noFill/>
        </a:ln>
      </c:spPr>
    </c:legend>
    <c:plotVisOnly val="1"/>
    <c:dispBlanksAs val="gap"/>
  </c:chart>
  <c:spPr/>
  <c:txPr>
    <a:bodyPr anchor="ctr" anchorCtr="1" rot="0"/>
    <a:lstStyle/>
    <a:p>
      <a:pPr>
        <a:defRPr lang="en-us" sz="1000" b="0" i="0" u="none" strike="noStrike" kern="100">
          <a:solidFill>
            <a:srgbClr val="000000"/>
          </a:solidFill>
          <a:latin typeface="Arial" charset="0"/>
        </a:defRPr>
      </a:pPr>
    </a:p>
  </c:txPr>
  <c:extLst>
    <c:ext xmlns:sm="sm" uri="sm">
      <sm:colorScheme xmlns:sm="sm" id="1775607099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/>
    </c:plotArea>
    <c:legend>
      <c:legendPos val="r"/>
      <c:layout/>
      <c:overlay val="0"/>
      <c:spPr>
        <a:ln>
          <a:noFill/>
        </a:ln>
      </c:spPr>
    </c:legend>
    <c:plotVisOnly val="1"/>
    <c:dispBlanksAs val="gap"/>
  </c:chart>
  <c:spPr/>
  <c:txPr>
    <a:bodyPr anchor="ctr" anchorCtr="1" rot="0"/>
    <a:lstStyle/>
    <a:p>
      <a:pPr>
        <a:defRPr lang="en-us" sz="1000" b="0" i="0" u="none" strike="noStrike" kern="100">
          <a:solidFill>
            <a:srgbClr val="000000"/>
          </a:solidFill>
          <a:latin typeface="Arial" charset="0"/>
        </a:defRPr>
      </a:pPr>
    </a:p>
  </c:txPr>
  <c:extLst>
    <c:ext xmlns:sm="sm" uri="sm">
      <sm:colorScheme xmlns:sm="sm" id="1775607099" val="15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/>
    </c:plotArea>
    <c:legend>
      <c:legendPos val="r"/>
      <c:layout/>
      <c:overlay val="0"/>
      <c:spPr>
        <a:ln>
          <a:noFill/>
        </a:ln>
      </c:spPr>
    </c:legend>
    <c:plotVisOnly val="1"/>
    <c:dispBlanksAs val="gap"/>
  </c:chart>
  <c:spPr/>
  <c:txPr>
    <a:bodyPr anchor="ctr" anchorCtr="1" rot="0"/>
    <a:lstStyle/>
    <a:p>
      <a:pPr>
        <a:defRPr lang="en-us" sz="1000" b="0" i="0" u="none" strike="noStrike" kern="100">
          <a:solidFill>
            <a:srgbClr val="000000"/>
          </a:solidFill>
          <a:latin typeface="Arial" charset="0"/>
        </a:defRPr>
      </a:pPr>
    </a:p>
  </c:txPr>
  <c:extLst>
    <c:ext xmlns:sm="sm" uri="sm">
      <sm:colorScheme xmlns:sm="sm" id="1775607099" val="15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117</xdr:row>
      <xdr:rowOff>0</xdr:rowOff>
    </xdr:from>
    <xdr:to>
      <xdr:col>10</xdr:col>
      <xdr:colOff>0</xdr:colOff>
      <xdr:row>126</xdr:row>
      <xdr:rowOff>0</xdr:rowOff>
    </xdr:to>
    <xdr:graphicFrame macro="">
      <xdr:nvGraphicFramePr>
        <xdr:cNvPr id="4" name="12-month: rent vs cash flo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117</xdr:row>
      <xdr:rowOff>0</xdr:rowOff>
    </xdr:from>
    <xdr:to>
      <xdr:col>19</xdr:col>
      <xdr:colOff>0</xdr:colOff>
      <xdr:row>126</xdr:row>
      <xdr:rowOff>0</xdr:rowOff>
    </xdr:to>
    <xdr:graphicFrame macro="">
      <xdr:nvGraphicFramePr>
        <xdr:cNvPr id="3" name="12-month: rent alloc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19</xdr:col>
      <xdr:colOff>0</xdr:colOff>
      <xdr:row>152</xdr:row>
      <xdr:rowOff>0</xdr:rowOff>
    </xdr:to>
    <xdr:graphicFrame macro="">
      <xdr:nvGraphicFramePr>
        <xdr:cNvPr id="2" name="6-year projec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120"/>
  <sheetViews>
    <sheetView tabSelected="1" view="normal" topLeftCell="A64" workbookViewId="0">
      <selection activeCell="C13" sqref="C13"/>
    </sheetView>
  </sheetViews>
  <sheetFormatPr defaultRowHeight="15.40"/>
  <cols>
    <col min="1" max="1" width="6.000000" customWidth="1" style="6"/>
    <col min="2" max="2" width="24.000000" customWidth="1" style="6"/>
    <col min="3" max="3" width="14.000000" customWidth="1" style="6"/>
    <col min="4" max="4" width="28.000000" customWidth="1" style="6"/>
    <col min="5" max="5" width="14.000000" customWidth="1"/>
    <col min="6" max="6" width="12.000000" customWidth="1"/>
    <col min="7" max="7" width="20.000000" customWidth="1" style="6"/>
    <col min="8" max="8" width="14.000000" customWidth="1"/>
    <col min="9" max="9" width="12.000000" customWidth="1"/>
    <col min="10" max="10" width="22.000000" customWidth="1" style="6"/>
    <col min="11" max="11" width="4.000000" customWidth="1" style="6"/>
    <col min="12" max="12" width="24.000000" customWidth="1" style="6"/>
    <col min="13" max="13" width="18.000000" customWidth="1" style="6"/>
    <col min="14" max="14" width="12.000000" customWidth="1" style="6"/>
    <col min="15" max="15" width="24.000000" customWidth="1" style="6"/>
    <col min="16" max="17" width="8.000000" customWidth="1" style="6"/>
  </cols>
  <sheetData>
    <row r="1" spans="1:17" ht="22" customHeight="1">
      <c r="A1" s="7" t="s">
        <v>0</v>
      </c>
      <c r="J1" s="8"/>
      <c r="K1" s="9"/>
      <c r="L1" s="9"/>
      <c r="M1" s="9"/>
      <c r="N1" s="9"/>
      <c r="O1" s="9"/>
      <c r="P1" s="9"/>
      <c r="Q1" s="9"/>
    </row>
    <row r="2" spans="1:17" ht="22" customHeight="1">
      <c r="A2" s="88" t="s">
        <v>1</v>
      </c>
      <c r="B2" s="89"/>
      <c r="C2" s="89"/>
      <c r="D2" s="89"/>
      <c r="E2" s="90"/>
      <c r="F2" s="90"/>
      <c r="G2" s="89"/>
      <c r="H2" s="90"/>
      <c r="I2" s="90"/>
      <c r="J2" s="8"/>
      <c r="K2" s="9"/>
      <c r="L2" s="9"/>
      <c r="M2" s="9"/>
      <c r="N2" s="9"/>
      <c r="O2" s="9"/>
      <c r="P2" s="9"/>
      <c r="Q2" s="9"/>
    </row>
    <row r="3" spans="1:17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9"/>
      <c r="N3" s="9"/>
      <c r="O3" s="9"/>
      <c r="P3" s="9"/>
      <c r="Q3" s="9"/>
    </row>
    <row r="4" spans="1:17" ht="22" customHeight="1">
      <c r="A4" s="11" t="s">
        <v>2</v>
      </c>
      <c r="J4" s="8"/>
      <c r="K4" s="9"/>
      <c r="L4" s="9"/>
      <c r="M4" s="9"/>
      <c r="N4" s="9"/>
      <c r="O4" s="9"/>
      <c r="P4" s="9"/>
      <c r="Q4" s="9"/>
    </row>
    <row r="5" spans="1:17" ht="15" customHeight="1">
      <c r="A5" s="12" t="n">
        <v>1</v>
      </c>
      <c r="B5" s="13" t="s">
        <v>3</v>
      </c>
      <c r="C5" s="71" t="s">
        <v>4</v>
      </c>
      <c r="D5" s="10" t="s">
        <v>5</v>
      </c>
      <c r="E5" s="8"/>
      <c r="F5" s="8"/>
      <c r="G5" s="8"/>
      <c r="H5" s="8"/>
      <c r="I5" s="8"/>
      <c r="J5" s="8"/>
      <c r="K5" s="9"/>
      <c r="L5" s="9"/>
      <c r="M5" s="9"/>
      <c r="N5" s="9"/>
      <c r="O5" s="9"/>
      <c r="P5" s="9"/>
      <c r="Q5" s="9"/>
    </row>
    <row r="6" spans="1:17" ht="15" customHeight="1">
      <c r="A6" s="12" t="n">
        <v>2</v>
      </c>
      <c r="B6" s="13" t="s">
        <v>6</v>
      </c>
      <c r="C6" s="72" t="n">
        <v>85000</v>
      </c>
      <c r="D6" s="8"/>
      <c r="E6" s="8"/>
      <c r="F6" s="8"/>
      <c r="G6" s="8"/>
      <c r="H6" s="8"/>
      <c r="I6" s="8"/>
      <c r="J6" s="8"/>
      <c r="K6" s="9"/>
      <c r="L6" s="9"/>
      <c r="M6" s="9"/>
      <c r="N6" s="9"/>
      <c r="O6" s="9"/>
      <c r="P6" s="9"/>
      <c r="Q6" s="9"/>
    </row>
    <row r="7" spans="1:17" ht="15" customHeight="1">
      <c r="A7" s="12" t="n">
        <v>3</v>
      </c>
      <c r="B7" s="13" t="s">
        <v>7</v>
      </c>
      <c r="C7" s="72" t="n">
        <v>69140</v>
      </c>
      <c r="D7" s="10" t="s">
        <v>8</v>
      </c>
      <c r="E7" s="8"/>
      <c r="F7" s="8"/>
      <c r="G7" s="8"/>
      <c r="H7" s="8"/>
      <c r="I7" s="8"/>
      <c r="J7" s="8"/>
      <c r="K7" s="9"/>
      <c r="L7" s="9"/>
      <c r="M7" s="9"/>
      <c r="N7" s="9"/>
      <c r="O7" s="9"/>
      <c r="P7" s="9"/>
      <c r="Q7" s="9"/>
    </row>
    <row r="8" spans="1:17" ht="15" customHeight="1">
      <c r="A8" s="12" t="n">
        <v>4</v>
      </c>
      <c r="B8" s="13" t="s">
        <v>9</v>
      </c>
      <c r="C8" s="72" t="n">
        <v>1700</v>
      </c>
      <c r="D8" s="8"/>
      <c r="E8" s="8"/>
      <c r="F8" s="8"/>
      <c r="G8" s="8"/>
      <c r="H8" s="8"/>
      <c r="I8" s="8"/>
      <c r="J8" s="8"/>
      <c r="K8" s="9"/>
      <c r="L8" s="9"/>
      <c r="M8" s="9"/>
      <c r="N8" s="9"/>
      <c r="O8" s="9"/>
      <c r="P8" s="9"/>
      <c r="Q8" s="9"/>
    </row>
    <row r="9" spans="1:17" ht="15" customHeight="1">
      <c r="A9" s="8"/>
      <c r="B9" s="8" t="s">
        <v>10</v>
      </c>
      <c r="C9" s="73">
        <f>C8/C6</f>
        <v>0.02</v>
      </c>
      <c r="D9" s="8"/>
      <c r="E9" s="8"/>
      <c r="F9" s="8"/>
      <c r="G9" s="8"/>
      <c r="H9" s="8"/>
      <c r="I9" s="8"/>
      <c r="J9" s="8"/>
      <c r="K9" s="9"/>
      <c r="L9" s="9"/>
      <c r="M9" s="9"/>
      <c r="N9" s="9"/>
      <c r="O9" s="9"/>
      <c r="P9" s="9"/>
      <c r="Q9" s="9"/>
    </row>
    <row r="10" spans="1:17" ht="15" customHeight="1">
      <c r="A10" s="12" t="n">
        <v>5</v>
      </c>
      <c r="B10" s="13" t="s">
        <v>11</v>
      </c>
      <c r="C10" s="74" t="n">
        <v>7.5</v>
      </c>
      <c r="D10" s="8"/>
      <c r="E10" s="8"/>
      <c r="F10" s="8"/>
      <c r="G10" s="8"/>
      <c r="H10" s="8"/>
      <c r="I10" s="8"/>
      <c r="J10" s="8"/>
      <c r="K10" s="9"/>
      <c r="L10" s="9"/>
      <c r="M10" s="9"/>
      <c r="N10" s="9"/>
      <c r="O10" s="9"/>
      <c r="P10" s="9"/>
      <c r="Q10" s="9"/>
    </row>
    <row r="11" spans="1:17" ht="15" customHeight="1">
      <c r="A11" s="12" t="n">
        <v>6</v>
      </c>
      <c r="B11" s="13" t="s">
        <v>12</v>
      </c>
      <c r="C11" s="74" t="n">
        <v>20</v>
      </c>
      <c r="D11" s="8"/>
      <c r="E11" s="8"/>
      <c r="F11" s="8"/>
      <c r="G11" s="8"/>
      <c r="H11" s="8"/>
      <c r="I11" s="8"/>
      <c r="J11" s="8"/>
      <c r="K11" s="9"/>
      <c r="L11" s="9"/>
      <c r="M11" s="9"/>
      <c r="N11" s="9"/>
      <c r="O11" s="9"/>
      <c r="P11" s="9"/>
      <c r="Q11" s="9"/>
    </row>
    <row r="12" spans="1:17" ht="15" customHeight="1">
      <c r="A12" s="8"/>
      <c r="B12" s="8" t="s">
        <v>13</v>
      </c>
      <c r="C12" s="75" t="n">
        <v>50000</v>
      </c>
      <c r="D12" s="8"/>
      <c r="E12" s="8"/>
      <c r="F12" s="8"/>
      <c r="G12" s="8"/>
      <c r="H12" s="8"/>
      <c r="I12" s="8"/>
      <c r="J12" s="8"/>
      <c r="K12" s="9"/>
      <c r="L12" s="9"/>
      <c r="M12" s="9"/>
      <c r="N12" s="9"/>
      <c r="O12" s="9"/>
      <c r="P12" s="9"/>
      <c r="Q12" s="9"/>
    </row>
    <row r="13" spans="1:17" ht="15" customHeight="1">
      <c r="A13" s="8"/>
      <c r="B13" s="8" t="s">
        <v>14</v>
      </c>
      <c r="C13" s="81">
        <f>C6+C19+C20-C12-C14+C8</f>
        <v>26189.9860000000008</v>
      </c>
      <c r="D13" s="8" t="s">
        <v>15</v>
      </c>
      <c r="E13" s="22" t="s">
        <v>16</v>
      </c>
      <c r="F13" s="42">
        <f>C6+C19+C20+C37</f>
        <v>104489.986000000004</v>
      </c>
      <c r="G13" s="8" t="s">
        <v>17</v>
      </c>
      <c r="H13" s="8"/>
      <c r="I13" s="8"/>
      <c r="J13" s="8"/>
      <c r="K13" s="9"/>
      <c r="L13" s="9"/>
      <c r="M13" s="9"/>
      <c r="N13" s="9"/>
      <c r="O13" s="9"/>
      <c r="P13" s="9"/>
      <c r="Q13" s="9"/>
    </row>
    <row r="14" spans="1:17" ht="15" customHeight="1">
      <c r="A14" s="12" t="n">
        <v>7</v>
      </c>
      <c r="B14" s="13" t="s">
        <v>18</v>
      </c>
      <c r="C14" s="72" t="n">
        <v>15000</v>
      </c>
      <c r="D14" s="10" t="s">
        <v>19</v>
      </c>
      <c r="F14" s="8"/>
      <c r="G14" s="8"/>
      <c r="H14" s="8"/>
      <c r="I14" s="8"/>
      <c r="J14" s="8"/>
      <c r="K14" s="9"/>
      <c r="L14" s="9"/>
      <c r="M14" s="9"/>
      <c r="N14" s="9"/>
      <c r="O14" s="9"/>
      <c r="P14" s="9"/>
      <c r="Q14" s="9"/>
    </row>
    <row r="15" spans="1:17" ht="15" customHeight="1">
      <c r="A15" s="12" t="n">
        <v>8</v>
      </c>
      <c r="B15" s="13" t="s">
        <v>20</v>
      </c>
      <c r="C15" s="72" t="n">
        <v>10</v>
      </c>
      <c r="D15" s="8"/>
      <c r="E15" s="43" t="s">
        <v>21</v>
      </c>
      <c r="F15" s="42">
        <f>C13+C37</f>
        <v>41189.9859999999971</v>
      </c>
      <c r="G15" s="8" t="s">
        <v>22</v>
      </c>
      <c r="I15" s="8"/>
      <c r="J15" s="8"/>
      <c r="K15" s="9"/>
      <c r="L15" s="9"/>
      <c r="M15" s="9"/>
      <c r="N15" s="9"/>
      <c r="O15" s="9"/>
      <c r="P15" s="9"/>
      <c r="Q15" s="9"/>
    </row>
    <row r="16" spans="1:17" ht="15" customHeight="1">
      <c r="A16" s="12" t="n">
        <v>9</v>
      </c>
      <c r="B16" s="13" t="s">
        <v>23</v>
      </c>
      <c r="C16" s="76" t="n">
        <v>5</v>
      </c>
      <c r="D16" s="8"/>
      <c r="E16" s="8"/>
      <c r="F16" s="8"/>
      <c r="G16" s="8"/>
      <c r="H16" s="8"/>
      <c r="I16" s="8"/>
      <c r="J16" s="8"/>
      <c r="K16" s="9"/>
      <c r="L16" s="9"/>
      <c r="M16" s="9"/>
      <c r="N16" s="9"/>
      <c r="O16" s="9"/>
      <c r="P16" s="9"/>
      <c r="Q16" s="9"/>
    </row>
    <row r="17" spans="1: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9"/>
      <c r="L17" s="9"/>
      <c r="M17" s="9"/>
      <c r="N17" s="9"/>
      <c r="O17" s="9"/>
      <c r="P17" s="9"/>
      <c r="Q17" s="9"/>
    </row>
    <row r="18" spans="1:17" ht="22" customHeight="1">
      <c r="A18" s="11" t="s">
        <v>24</v>
      </c>
      <c r="J18" s="8"/>
      <c r="K18" s="9"/>
      <c r="L18" s="9"/>
      <c r="M18" s="9"/>
      <c r="N18" s="9"/>
      <c r="O18" s="9"/>
      <c r="P18" s="9"/>
      <c r="Q18" s="9"/>
    </row>
    <row r="19" spans="1:17" ht="15" customHeight="1">
      <c r="A19" s="12" t="n">
        <v>10</v>
      </c>
      <c r="B19" s="13" t="s">
        <v>25</v>
      </c>
      <c r="C19" s="72">
        <f>(C25+C24)/12*9</f>
        <v>1096.9860000000001</v>
      </c>
      <c r="D19" s="10" t="s">
        <v>26</v>
      </c>
      <c r="E19" s="8" t="s">
        <v>27</v>
      </c>
      <c r="F19" s="8"/>
      <c r="G19" s="8"/>
      <c r="H19" s="8"/>
      <c r="I19" s="8"/>
      <c r="J19" s="8"/>
      <c r="K19" s="9"/>
      <c r="L19" s="9"/>
      <c r="M19" s="9"/>
      <c r="N19" s="9"/>
      <c r="O19" s="9"/>
      <c r="P19" s="9"/>
      <c r="Q19" s="9"/>
    </row>
    <row r="20" spans="1:17" ht="15" customHeight="1">
      <c r="A20" s="12" t="n">
        <v>11</v>
      </c>
      <c r="B20" s="13" t="s">
        <v>28</v>
      </c>
      <c r="C20" s="72" t="n">
        <v>3393</v>
      </c>
      <c r="D20" s="10" t="s">
        <v>29</v>
      </c>
      <c r="E20" s="8" t="s">
        <v>30</v>
      </c>
      <c r="F20" s="8"/>
      <c r="G20" s="8"/>
      <c r="H20" s="8"/>
      <c r="I20" s="8"/>
      <c r="J20" s="8"/>
      <c r="K20" s="9"/>
      <c r="L20" s="9"/>
      <c r="M20" s="9"/>
      <c r="N20" s="9"/>
      <c r="O20" s="9"/>
      <c r="P20" s="9"/>
      <c r="Q20" s="9"/>
    </row>
    <row r="21" spans="1: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9"/>
      <c r="L21" s="9"/>
      <c r="M21" s="9"/>
      <c r="N21" s="9"/>
      <c r="O21" s="9"/>
      <c r="P21" s="9"/>
      <c r="Q21" s="9"/>
    </row>
    <row r="22" spans="1:17" ht="22" customHeight="1">
      <c r="A22" s="11" t="s">
        <v>31</v>
      </c>
      <c r="J22" s="8"/>
      <c r="K22" s="9"/>
      <c r="L22" s="9"/>
      <c r="M22" s="9"/>
      <c r="N22" s="9"/>
      <c r="O22" s="9"/>
      <c r="P22" s="9"/>
      <c r="Q22" s="9"/>
    </row>
    <row r="23" spans="1:17" ht="15" customHeight="1">
      <c r="A23" s="12" t="n">
        <v>12</v>
      </c>
      <c r="B23" s="13" t="s">
        <v>32</v>
      </c>
      <c r="C23" s="77" t="n">
        <v>1.32000000000000006</v>
      </c>
      <c r="D23" s="10" t="s">
        <v>33</v>
      </c>
      <c r="E23" s="8"/>
      <c r="F23" s="8"/>
      <c r="G23" s="8"/>
      <c r="H23" s="8"/>
      <c r="I23" s="8"/>
      <c r="J23" s="8"/>
      <c r="K23" s="9"/>
      <c r="L23" s="9"/>
      <c r="M23" s="9"/>
      <c r="N23" s="9"/>
      <c r="O23" s="9"/>
      <c r="P23" s="9"/>
      <c r="Q23" s="9"/>
    </row>
    <row r="24" spans="1:17" ht="15" customHeight="1">
      <c r="A24" s="8"/>
      <c r="B24" s="8" t="s">
        <v>34</v>
      </c>
      <c r="C24" s="75">
        <f>C7*(C23/100)</f>
        <v>912.648000000000025</v>
      </c>
      <c r="D24" s="8"/>
      <c r="E24" s="8"/>
      <c r="F24" s="8"/>
      <c r="G24" s="8"/>
      <c r="H24" s="8"/>
      <c r="I24" s="8"/>
      <c r="J24" s="8"/>
      <c r="K24" s="9"/>
      <c r="L24" s="9"/>
      <c r="M24" s="9"/>
      <c r="N24" s="9"/>
      <c r="O24" s="9"/>
      <c r="P24" s="9"/>
      <c r="Q24" s="9"/>
    </row>
    <row r="25" spans="1:17" ht="15" customHeight="1">
      <c r="A25" s="12" t="n">
        <v>13</v>
      </c>
      <c r="B25" s="13" t="s">
        <v>35</v>
      </c>
      <c r="C25" s="72" t="n">
        <v>550</v>
      </c>
      <c r="D25" s="8"/>
      <c r="E25" s="8"/>
      <c r="F25" s="8"/>
      <c r="G25" s="8"/>
      <c r="H25" s="8"/>
      <c r="I25" s="8"/>
      <c r="J25" s="8"/>
      <c r="K25" s="9"/>
      <c r="L25" s="9"/>
      <c r="M25" s="9"/>
      <c r="N25" s="9"/>
      <c r="O25" s="9"/>
      <c r="P25" s="9"/>
      <c r="Q25" s="9"/>
    </row>
    <row r="26" spans="1:17" ht="15" customHeight="1">
      <c r="A26" s="12" t="n">
        <v>14</v>
      </c>
      <c r="B26" s="13" t="s">
        <v>36</v>
      </c>
      <c r="C26" s="72" t="n">
        <v>500</v>
      </c>
      <c r="D26" s="8"/>
      <c r="E26" s="8"/>
      <c r="F26" s="8"/>
      <c r="G26" s="8"/>
      <c r="H26" s="8"/>
      <c r="I26" s="8"/>
      <c r="J26" s="8"/>
      <c r="K26" s="9"/>
      <c r="L26" s="9"/>
      <c r="M26" s="9"/>
      <c r="N26" s="9"/>
      <c r="O26" s="9"/>
      <c r="P26" s="9"/>
      <c r="Q26" s="9"/>
    </row>
    <row r="27" spans="1:17" ht="15" customHeight="1">
      <c r="A27" s="8"/>
      <c r="B27" s="8" t="s">
        <v>37</v>
      </c>
      <c r="C27" s="82">
        <f>C26*12</f>
        <v>6000</v>
      </c>
      <c r="D27" s="8"/>
      <c r="E27" s="8"/>
      <c r="F27" s="8"/>
      <c r="G27" s="8"/>
      <c r="H27" s="8"/>
      <c r="I27" s="8"/>
      <c r="J27" s="8"/>
      <c r="K27" s="9"/>
      <c r="L27" s="9"/>
      <c r="M27" s="9"/>
      <c r="N27" s="9"/>
      <c r="O27" s="9"/>
      <c r="P27" s="9"/>
      <c r="Q27" s="9"/>
    </row>
    <row r="28" spans="1:17" ht="1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9"/>
      <c r="N28" s="9"/>
      <c r="O28" s="9"/>
      <c r="P28" s="9"/>
      <c r="Q28" s="9"/>
    </row>
    <row r="29" spans="1:17" ht="22" customHeight="1">
      <c r="A29" s="11" t="s">
        <v>38</v>
      </c>
      <c r="J29" s="8"/>
      <c r="K29" s="9"/>
      <c r="L29" s="9"/>
      <c r="M29" s="9"/>
      <c r="N29" s="9"/>
      <c r="O29" s="9"/>
      <c r="P29" s="9"/>
      <c r="Q29" s="9"/>
    </row>
    <row r="30" spans="1:17" ht="15" customHeight="1">
      <c r="A30" s="12" t="n">
        <v>15</v>
      </c>
      <c r="B30" s="13" t="s">
        <v>39</v>
      </c>
      <c r="C30" s="72" t="n">
        <v>1400</v>
      </c>
      <c r="D30" s="8"/>
      <c r="E30" s="8"/>
      <c r="F30" s="8"/>
      <c r="G30" s="8"/>
      <c r="H30" s="8"/>
      <c r="I30" s="8"/>
      <c r="J30" s="8"/>
      <c r="K30" s="9"/>
      <c r="L30" s="9"/>
      <c r="M30" s="9"/>
      <c r="N30" s="9"/>
      <c r="O30" s="9"/>
      <c r="P30" s="9"/>
      <c r="Q30" s="9"/>
    </row>
    <row r="31" spans="1:17" ht="15" customHeight="1">
      <c r="A31" s="12" t="n">
        <v>16</v>
      </c>
      <c r="B31" s="13" t="s">
        <v>40</v>
      </c>
      <c r="C31" s="78" t="n">
        <v>0.02</v>
      </c>
      <c r="D31" s="14" t="s">
        <v>41</v>
      </c>
      <c r="E31" s="8"/>
      <c r="F31" s="8"/>
      <c r="G31" s="8"/>
      <c r="H31" s="8"/>
      <c r="I31" s="8"/>
      <c r="J31" s="8"/>
      <c r="K31" s="9"/>
      <c r="L31" s="9"/>
      <c r="M31" s="9"/>
      <c r="N31" s="9"/>
      <c r="O31" s="9"/>
      <c r="P31" s="9"/>
      <c r="Q31" s="9"/>
    </row>
    <row r="32" spans="1:17" ht="15" customHeight="1">
      <c r="A32" s="12" t="n">
        <v>17</v>
      </c>
      <c r="B32" s="13" t="s">
        <v>42</v>
      </c>
      <c r="C32" s="78" t="n">
        <v>0.03</v>
      </c>
      <c r="D32" s="8"/>
      <c r="E32" s="8"/>
      <c r="F32" s="8"/>
      <c r="G32" s="8"/>
      <c r="H32" s="8"/>
      <c r="I32" s="8"/>
      <c r="J32" s="8"/>
      <c r="K32" s="9"/>
      <c r="L32" s="9"/>
      <c r="M32" s="9"/>
      <c r="N32" s="9"/>
      <c r="O32" s="9"/>
      <c r="P32" s="9"/>
      <c r="Q32" s="9"/>
    </row>
    <row r="33" spans="1:17" ht="15" customHeight="1">
      <c r="A33" s="12" t="n">
        <v>18</v>
      </c>
      <c r="B33" s="13" t="s">
        <v>43</v>
      </c>
      <c r="C33" s="78" t="n">
        <v>0.02</v>
      </c>
      <c r="D33" s="8"/>
      <c r="E33" s="8"/>
      <c r="F33" s="8"/>
      <c r="G33" s="8"/>
      <c r="H33" s="8"/>
      <c r="I33" s="8"/>
      <c r="J33" s="8"/>
      <c r="K33" s="9"/>
      <c r="L33" s="9"/>
      <c r="M33" s="9"/>
      <c r="N33" s="9"/>
      <c r="O33" s="9"/>
      <c r="P33" s="9"/>
      <c r="Q33" s="9"/>
    </row>
    <row r="34" spans="1:17" ht="1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9"/>
      <c r="L34" s="9"/>
      <c r="M34" s="9"/>
      <c r="N34" s="9"/>
      <c r="O34" s="9"/>
      <c r="P34" s="9"/>
      <c r="Q34" s="9"/>
    </row>
    <row r="35" spans="1:17" ht="22" customHeight="1">
      <c r="A35" s="11" t="s">
        <v>44</v>
      </c>
      <c r="J35" s="8"/>
      <c r="K35" s="9"/>
      <c r="L35" s="9"/>
      <c r="M35" s="9"/>
      <c r="N35" s="9"/>
      <c r="O35" s="9"/>
      <c r="P35" s="9"/>
      <c r="Q35" s="9"/>
    </row>
    <row r="36" spans="1:17" ht="15" customHeight="1">
      <c r="A36" s="12" t="n">
        <v>19</v>
      </c>
      <c r="B36" s="13" t="s">
        <v>45</v>
      </c>
      <c r="C36" s="71" t="n">
        <v>3</v>
      </c>
      <c r="D36" s="8"/>
      <c r="E36" s="8"/>
      <c r="F36" s="8"/>
      <c r="G36" s="8"/>
      <c r="H36" s="8"/>
      <c r="I36" s="8"/>
      <c r="J36" s="8"/>
      <c r="K36" s="9"/>
      <c r="L36" s="9"/>
      <c r="M36" s="9"/>
      <c r="N36" s="9"/>
      <c r="O36" s="9"/>
      <c r="P36" s="9"/>
      <c r="Q36" s="9"/>
    </row>
    <row r="37" spans="1:17" ht="15" customHeight="1">
      <c r="A37" s="12" t="n">
        <v>20</v>
      </c>
      <c r="B37" s="13" t="s">
        <v>46</v>
      </c>
      <c r="C37" s="72" t="n">
        <v>15000</v>
      </c>
      <c r="D37" s="10" t="s">
        <v>47</v>
      </c>
      <c r="E37" s="8"/>
      <c r="F37" s="8"/>
      <c r="G37" s="8"/>
      <c r="H37" s="8"/>
      <c r="I37" s="8"/>
      <c r="J37" s="8"/>
      <c r="K37" s="9"/>
      <c r="L37" s="9"/>
      <c r="M37" s="9"/>
      <c r="N37" s="9"/>
      <c r="O37" s="9"/>
      <c r="P37" s="9"/>
      <c r="Q37" s="9"/>
    </row>
    <row r="38" spans="1:17" ht="23.25" customHeight="1">
      <c r="A38" s="8" t="n">
        <v>21</v>
      </c>
      <c r="B38" s="8" t="s">
        <v>48</v>
      </c>
      <c r="C38" s="79" t="n">
        <v>1</v>
      </c>
      <c r="D38" s="8" t="s">
        <v>49</v>
      </c>
      <c r="E38" s="8"/>
      <c r="F38" s="8"/>
      <c r="G38" s="8"/>
      <c r="H38" s="8"/>
      <c r="I38" s="8"/>
      <c r="J38" s="8"/>
      <c r="K38" s="9"/>
      <c r="L38" s="9"/>
      <c r="M38" s="9"/>
      <c r="N38" s="9"/>
      <c r="O38" s="9"/>
      <c r="P38" s="9"/>
      <c r="Q38" s="9"/>
    </row>
    <row r="39" spans="1:17" ht="15" customHeight="1">
      <c r="A39" s="11" t="s">
        <v>50</v>
      </c>
      <c r="J39" s="8"/>
      <c r="K39" s="9"/>
      <c r="L39" s="9"/>
      <c r="M39" s="9"/>
      <c r="N39" s="9"/>
      <c r="O39" s="9"/>
      <c r="P39" s="9"/>
      <c r="Q39" s="9"/>
    </row>
    <row r="40" spans="1:17" ht="22" customHeight="1">
      <c r="A40" s="12" t="n">
        <v>22</v>
      </c>
      <c r="B40" s="13" t="s">
        <v>51</v>
      </c>
      <c r="C40" s="80" t="n">
        <v>0.25</v>
      </c>
      <c r="D40" s="8"/>
      <c r="E40" s="8"/>
      <c r="F40" s="8"/>
      <c r="G40" s="8"/>
      <c r="H40" s="8"/>
      <c r="I40" s="8"/>
      <c r="J40" s="8"/>
      <c r="K40" s="9"/>
      <c r="L40" s="9"/>
      <c r="M40" s="9"/>
      <c r="N40" s="9"/>
      <c r="O40" s="9"/>
      <c r="P40" s="9"/>
      <c r="Q40" s="9"/>
    </row>
    <row r="41" spans="1:17" ht="15" customHeight="1">
      <c r="A41" s="12" t="n">
        <v>23</v>
      </c>
      <c r="B41" s="13" t="s">
        <v>52</v>
      </c>
      <c r="C41" s="78" t="n">
        <v>0.2</v>
      </c>
      <c r="D41" s="10" t="s">
        <v>53</v>
      </c>
      <c r="E41" s="8"/>
      <c r="F41" s="8"/>
      <c r="G41" s="8"/>
      <c r="H41" s="8"/>
      <c r="I41" s="8"/>
      <c r="J41" s="8"/>
      <c r="K41" s="9"/>
      <c r="L41" s="9"/>
      <c r="M41" s="9"/>
      <c r="N41" s="9"/>
      <c r="O41" s="9"/>
      <c r="P41" s="9"/>
      <c r="Q41" s="9"/>
    </row>
    <row r="42" spans="1:17" ht="15" customHeight="1">
      <c r="A42" s="8"/>
      <c r="B42" s="8"/>
      <c r="C42" s="15"/>
      <c r="D42" s="8"/>
      <c r="E42" s="8"/>
      <c r="F42" s="8"/>
      <c r="G42" s="8"/>
      <c r="H42" s="8"/>
      <c r="I42" s="8"/>
      <c r="J42" s="8"/>
      <c r="K42" s="9"/>
      <c r="L42" s="9"/>
      <c r="M42" s="9"/>
      <c r="N42" s="9"/>
      <c r="O42" s="9"/>
      <c r="P42" s="9"/>
      <c r="Q42" s="9"/>
    </row>
    <row r="43" spans="1:17" ht="22" customHeight="1">
      <c r="A43" s="11" t="s">
        <v>54</v>
      </c>
      <c r="J43" s="16" t="s">
        <v>55</v>
      </c>
      <c r="K43" s="16"/>
      <c r="L43" s="16"/>
      <c r="M43" s="16"/>
      <c r="N43" s="16"/>
      <c r="O43" s="16"/>
      <c r="P43" s="16"/>
      <c r="Q43" s="16"/>
    </row>
    <row r="44" spans="1:12" ht="21.75" customHeight="1">
      <c r="A44" s="8"/>
      <c r="B44" s="8" t="s">
        <v>56</v>
      </c>
      <c r="C44" s="62">
        <f>IF(C11&gt;0,-PMT(C10/100/12,C11*12,C12),0)</f>
        <v>402.79659677590098</v>
      </c>
      <c r="D44" s="8"/>
      <c r="E44" s="17" t="s">
        <v>57</v>
      </c>
      <c r="F44" s="17" t="s">
        <v>58</v>
      </c>
      <c r="G44" s="17" t="s">
        <v>59</v>
      </c>
      <c r="H44" s="17" t="s">
        <v>60</v>
      </c>
      <c r="I44" s="17" t="s">
        <v>61</v>
      </c>
      <c r="J44" s="17" t="s">
        <v>62</v>
      </c>
      <c r="K44" s="17"/>
      <c r="L44" s="17"/>
    </row>
    <row r="45" spans="1:12" ht="21.75" customHeight="1">
      <c r="A45" s="8"/>
      <c r="B45" s="8" t="s">
        <v>63</v>
      </c>
      <c r="C45" s="63">
        <f>IF(AND(C14&gt;0,C16&gt;0,C15&gt;0),-PMT(C15/100/12,C16*12,C14),0)</f>
        <v>318.705670669024983</v>
      </c>
      <c r="D45" s="8"/>
      <c r="E45" s="18" t="s">
        <v>64</v>
      </c>
      <c r="F45" s="52">
        <f>C52</f>
        <v>25220.1548023348005</v>
      </c>
      <c r="G45" s="19" t="s">
        <v>65</v>
      </c>
      <c r="H45" s="50" t="s">
        <v>66</v>
      </c>
      <c r="I45" s="20">
        <f>C59</f>
        <v>0.0933806117647059963</v>
      </c>
      <c r="J45" s="19"/>
      <c r="K45" s="9"/>
      <c r="L45" s="9"/>
    </row>
    <row r="46" spans="1:12" ht="21.75" customHeight="1">
      <c r="A46" s="8"/>
      <c r="B46" s="8" t="s">
        <v>67</v>
      </c>
      <c r="C46" s="63">
        <f>C24/12</f>
        <v>76.054000000000002</v>
      </c>
      <c r="D46" s="8"/>
      <c r="E46" s="18" t="s">
        <v>68</v>
      </c>
      <c r="F46" s="52">
        <f>C58</f>
        <v>7937.35199999999986</v>
      </c>
      <c r="G46" s="19" t="s">
        <v>69</v>
      </c>
      <c r="H46" s="50" t="s">
        <v>70</v>
      </c>
      <c r="I46" s="20">
        <f>C60</f>
        <v>-0.0285753681921250013</v>
      </c>
      <c r="J46" s="19"/>
      <c r="K46" s="9"/>
      <c r="L46" s="9"/>
    </row>
    <row r="47" spans="1:12" ht="21.75" customHeight="1">
      <c r="A47" s="8"/>
      <c r="B47" s="8" t="s">
        <v>71</v>
      </c>
      <c r="C47" s="63">
        <f>C25/12</f>
        <v>45.8333333333333002</v>
      </c>
      <c r="D47" s="8"/>
      <c r="E47" s="18" t="s">
        <v>72</v>
      </c>
      <c r="F47" s="21">
        <f>C63</f>
        <v>0.916762191673208982</v>
      </c>
      <c r="G47" s="19" t="s">
        <v>73</v>
      </c>
      <c r="H47" s="50" t="s">
        <v>74</v>
      </c>
      <c r="I47" s="20">
        <f>C64</f>
        <v>0.588235294117646923</v>
      </c>
      <c r="J47" s="19"/>
      <c r="K47" s="9"/>
      <c r="L47" s="9"/>
    </row>
    <row r="48" spans="1:12" ht="21.75" customHeight="1">
      <c r="A48" s="8"/>
      <c r="B48" s="22" t="s">
        <v>75</v>
      </c>
      <c r="C48" s="63">
        <f>C44+C45+C46+C47+C26</f>
        <v>1343.38960077826005</v>
      </c>
      <c r="D48" s="8"/>
      <c r="E48" s="18" t="s">
        <v>76</v>
      </c>
      <c r="F48" s="59">
        <f>C62</f>
        <v>0.0164705882352940014</v>
      </c>
      <c r="G48" s="19" t="s">
        <v>77</v>
      </c>
      <c r="H48" s="50" t="s">
        <v>78</v>
      </c>
      <c r="I48" s="60">
        <f>C70</f>
        <v>83806.7016571643035</v>
      </c>
      <c r="J48" s="19"/>
      <c r="K48" s="9"/>
      <c r="L48" s="9"/>
    </row>
    <row r="49" spans="1:12" ht="21.75" customHeight="1">
      <c r="A49" s="23"/>
      <c r="B49" s="23"/>
      <c r="C49" s="45"/>
      <c r="D49" s="23"/>
      <c r="E49" s="44" t="s">
        <v>79</v>
      </c>
      <c r="F49" s="21">
        <f>D87</f>
        <v>-293.389600778259023</v>
      </c>
      <c r="G49" s="19" t="s">
        <v>80</v>
      </c>
      <c r="H49" s="50" t="s">
        <v>81</v>
      </c>
      <c r="I49" s="52">
        <f>D92</f>
        <v>5.60707454545454986</v>
      </c>
      <c r="J49" s="19"/>
      <c r="K49" s="9"/>
      <c r="L49" s="9"/>
    </row>
    <row r="50" spans="1:12" ht="21.75" customHeight="1">
      <c r="A50" s="8"/>
      <c r="B50" s="8" t="s">
        <v>82</v>
      </c>
      <c r="C50" s="63">
        <f>SUM(C8,C19,C20,C37)</f>
        <v>21189.9860000000008</v>
      </c>
      <c r="D50" s="8"/>
      <c r="E50" s="18" t="s">
        <v>83</v>
      </c>
      <c r="F50" s="21">
        <f>C37</f>
        <v>15000</v>
      </c>
      <c r="G50" s="19" t="s">
        <v>84</v>
      </c>
      <c r="H50" s="50" t="s">
        <v>85</v>
      </c>
      <c r="I50" s="61">
        <f>C38</f>
        <v>1</v>
      </c>
      <c r="J50" s="19"/>
      <c r="K50" s="9"/>
      <c r="L50" s="9"/>
    </row>
    <row r="51" spans="1:12" ht="21.75" customHeight="1">
      <c r="A51" s="8"/>
      <c r="B51" s="8" t="s">
        <v>86</v>
      </c>
      <c r="C51" s="63">
        <f>C48*C36</f>
        <v>4030.16880233478014</v>
      </c>
      <c r="D51" s="8"/>
      <c r="E51" s="8"/>
      <c r="F51" s="53"/>
      <c r="G51" s="9"/>
      <c r="H51" s="51"/>
      <c r="I51" s="54"/>
      <c r="J51" s="9"/>
      <c r="K51" s="9"/>
      <c r="L51" s="9"/>
    </row>
    <row r="52" spans="1:12" ht="21.75" customHeight="1">
      <c r="A52" s="8"/>
      <c r="B52" s="22" t="s">
        <v>87</v>
      </c>
      <c r="C52" s="63">
        <f>C50+C51</f>
        <v>25220.1548023348005</v>
      </c>
      <c r="D52" s="8"/>
      <c r="E52" s="25" t="s">
        <v>88</v>
      </c>
      <c r="F52" s="83"/>
      <c r="G52" s="83"/>
      <c r="H52" s="83"/>
      <c r="I52" s="83"/>
      <c r="J52" s="83"/>
      <c r="K52" s="83"/>
      <c r="L52" s="84"/>
    </row>
    <row r="53" spans="1:12" ht="21.75" customHeight="1">
      <c r="A53" s="23"/>
      <c r="B53" s="23"/>
      <c r="C53" s="24"/>
      <c r="D53" s="23"/>
      <c r="E53" s="26" t="s">
        <v>89</v>
      </c>
      <c r="F53" s="83"/>
      <c r="G53" s="83"/>
      <c r="H53" s="83"/>
      <c r="I53" s="83"/>
      <c r="J53" s="83"/>
      <c r="K53" s="83"/>
      <c r="L53" s="84"/>
    </row>
    <row r="54" spans="1:12" ht="21.75" customHeight="1">
      <c r="A54" s="8"/>
      <c r="B54" s="8" t="s">
        <v>90</v>
      </c>
      <c r="C54" s="64">
        <f>((C6*(1-C41/100))+C37)/27.5</f>
        <v>3630.18181818181984</v>
      </c>
      <c r="D54" s="8"/>
      <c r="E54" s="26" t="s">
        <v>91</v>
      </c>
      <c r="F54" s="83"/>
      <c r="G54" s="83"/>
      <c r="H54" s="83"/>
      <c r="I54" s="83"/>
      <c r="J54" s="83"/>
      <c r="K54" s="83"/>
      <c r="L54" s="84"/>
    </row>
    <row r="55" spans="1:12" ht="21.75" customHeight="1">
      <c r="A55" s="8"/>
      <c r="B55" s="8" t="s">
        <v>92</v>
      </c>
      <c r="C55" s="64">
        <f>C30*(12-C38)</f>
        <v>15400</v>
      </c>
      <c r="D55" s="8" t="s">
        <v>93</v>
      </c>
      <c r="E55" s="26" t="s">
        <v>94</v>
      </c>
      <c r="F55" s="83"/>
      <c r="G55" s="83"/>
      <c r="H55" s="83"/>
      <c r="I55" s="83"/>
      <c r="J55" s="83"/>
      <c r="K55" s="83"/>
      <c r="L55" s="84"/>
    </row>
    <row r="56" spans="1:4" ht="21.75" customHeight="1">
      <c r="A56" s="8"/>
      <c r="B56" s="8" t="s">
        <v>95</v>
      </c>
      <c r="C56" s="65">
        <f>C30*12</f>
        <v>16800</v>
      </c>
      <c r="D56" s="8" t="s">
        <v>96</v>
      </c>
    </row>
    <row r="57" spans="1:18" ht="21.75" customHeight="1">
      <c r="A57" s="11" t="s">
        <v>97</v>
      </c>
      <c r="J57" s="11"/>
      <c r="K57" s="11"/>
      <c r="L57" s="11"/>
      <c r="M57" s="11"/>
      <c r="N57" s="11"/>
      <c r="O57" s="11"/>
      <c r="P57" s="11"/>
      <c r="Q57" s="11"/>
      <c r="R57" s="85" t="s">
        <v>98</v>
      </c>
    </row>
    <row r="58" spans="1:19" ht="22" customHeight="1">
      <c r="A58" s="8"/>
      <c r="B58" s="22" t="s">
        <v>99</v>
      </c>
      <c r="C58" s="63">
        <f>C55-(C24+C25+C27)</f>
        <v>7937.35199999999986</v>
      </c>
      <c r="D58" s="10" t="s">
        <v>100</v>
      </c>
      <c r="E58" s="8"/>
      <c r="F58" s="8"/>
      <c r="G58" s="8"/>
      <c r="H58" s="8"/>
      <c r="I58" s="8"/>
      <c r="J58" s="8"/>
      <c r="K58" s="9"/>
      <c r="L58" s="9"/>
      <c r="M58" s="9"/>
      <c r="N58" s="9"/>
      <c r="O58" s="9"/>
      <c r="P58" s="9"/>
      <c r="Q58" s="9"/>
      <c r="R58" s="86" t="s">
        <v>101</v>
      </c>
      <c r="S58">
        <f>12*(C44+C45)</f>
        <v>8658.02720933911041</v>
      </c>
    </row>
    <row r="59" spans="1:19" ht="21.75" customHeight="1">
      <c r="A59" s="8"/>
      <c r="B59" s="8" t="s">
        <v>102</v>
      </c>
      <c r="C59" s="66">
        <f>C58/C6</f>
        <v>0.0933806117647059963</v>
      </c>
      <c r="D59" s="10" t="s">
        <v>103</v>
      </c>
      <c r="E59" s="8"/>
      <c r="F59" s="8"/>
      <c r="G59" s="8"/>
      <c r="H59" s="8"/>
      <c r="I59" s="8"/>
      <c r="J59" s="8"/>
      <c r="K59" s="9"/>
      <c r="L59" s="9"/>
      <c r="M59" s="9"/>
      <c r="N59" s="9"/>
      <c r="O59" s="9"/>
      <c r="P59" s="9"/>
      <c r="Q59" s="9"/>
      <c r="R59" s="86" t="s">
        <v>104</v>
      </c>
      <c r="S59">
        <f>IF(C44&gt;0,C58/(C44*12),"")</f>
        <v>1.64213403314329014</v>
      </c>
    </row>
    <row r="60" spans="1:19" ht="21.75" customHeight="1">
      <c r="A60" s="8"/>
      <c r="B60" s="8" t="s">
        <v>105</v>
      </c>
      <c r="C60" s="66">
        <f>(C58-((C44+C45)*12))/C52</f>
        <v>-0.0285753681921250013</v>
      </c>
      <c r="D60" s="10" t="s">
        <v>106</v>
      </c>
      <c r="E60" s="8"/>
      <c r="F60" s="8"/>
      <c r="G60" s="8"/>
      <c r="H60" s="8"/>
      <c r="I60" s="8"/>
      <c r="J60" s="8"/>
      <c r="K60" s="9"/>
      <c r="L60" s="9"/>
      <c r="M60" s="9"/>
      <c r="N60" s="9"/>
      <c r="O60" s="9"/>
      <c r="P60" s="9"/>
      <c r="Q60" s="9"/>
      <c r="R60" s="86" t="s">
        <v>107</v>
      </c>
      <c r="S60">
        <f>IF(D86&lt;&gt;0,D82/D86,"")</f>
        <v>0.593362884614005015</v>
      </c>
    </row>
    <row r="61" spans="1:19" ht="15" customHeight="1">
      <c r="A61" s="8"/>
      <c r="B61" s="8" t="s">
        <v>108</v>
      </c>
      <c r="C61" s="66">
        <f>C6/C55</f>
        <v>5.51948051948051965</v>
      </c>
      <c r="D61" s="10" t="s">
        <v>109</v>
      </c>
      <c r="E61" s="8"/>
      <c r="F61" s="8"/>
      <c r="G61" s="8"/>
      <c r="H61" s="8"/>
      <c r="I61" s="8"/>
      <c r="J61" s="8"/>
      <c r="K61" s="9"/>
      <c r="L61" s="9"/>
      <c r="M61" s="9"/>
      <c r="N61" s="9"/>
      <c r="O61" s="9"/>
      <c r="P61" s="9"/>
      <c r="Q61" s="9"/>
      <c r="R61" s="86" t="s">
        <v>110</v>
      </c>
      <c r="S61" s="87">
        <f>C63-1.25</f>
        <v>-0.333237808326791018</v>
      </c>
    </row>
    <row r="62" spans="1:19" ht="15" customHeight="1">
      <c r="A62" s="8"/>
      <c r="B62" s="8" t="s">
        <v>111</v>
      </c>
      <c r="C62" s="66">
        <f>C30/C6</f>
        <v>0.0164705882352940014</v>
      </c>
      <c r="D62" s="10" t="s">
        <v>112</v>
      </c>
      <c r="E62" s="8"/>
      <c r="F62" s="8"/>
      <c r="G62" s="8"/>
      <c r="H62" s="8"/>
      <c r="I62" s="8"/>
      <c r="J62" s="8"/>
      <c r="K62" s="9"/>
      <c r="L62" s="9"/>
      <c r="M62" s="9"/>
      <c r="N62" s="9"/>
      <c r="O62" s="9"/>
      <c r="P62" s="9"/>
      <c r="Q62" s="9"/>
      <c r="R62" s="86" t="s">
        <v>113</v>
      </c>
      <c r="S62" t="str">
        <f>IF(C63&gt;=1.25,"Yes","No")</f>
        <v>No</v>
      </c>
    </row>
    <row r="63" spans="1:17" ht="15" customHeight="1">
      <c r="A63" s="8"/>
      <c r="B63" s="8" t="s">
        <v>114</v>
      </c>
      <c r="C63" s="66">
        <f>C58/((C44+C45)*12)</f>
        <v>0.916762191673208982</v>
      </c>
      <c r="D63" s="10" t="s">
        <v>115</v>
      </c>
      <c r="E63" s="8"/>
      <c r="F63" s="8"/>
      <c r="G63" s="8"/>
      <c r="H63" s="8"/>
      <c r="I63" s="8"/>
      <c r="J63" s="8"/>
      <c r="K63" s="9"/>
      <c r="L63" s="9"/>
      <c r="M63" s="9"/>
      <c r="N63" s="9"/>
      <c r="O63" s="9"/>
      <c r="P63" s="9"/>
      <c r="Q63" s="9"/>
    </row>
    <row r="64" spans="1:18" ht="15" customHeight="1">
      <c r="A64" s="8"/>
      <c r="B64" s="8" t="s">
        <v>116</v>
      </c>
      <c r="C64" s="66">
        <f>C12/C6</f>
        <v>0.588235294117646923</v>
      </c>
      <c r="D64" s="10" t="s">
        <v>117</v>
      </c>
      <c r="E64" s="8"/>
      <c r="F64" s="8"/>
      <c r="G64" s="8"/>
      <c r="H64" s="8"/>
      <c r="I64" s="8"/>
      <c r="J64" s="8"/>
      <c r="K64" s="9"/>
      <c r="L64" s="9"/>
      <c r="M64" s="9"/>
      <c r="N64" s="9"/>
      <c r="O64" s="9"/>
      <c r="P64" s="9"/>
      <c r="Q64" s="9"/>
      <c r="R64" s="85" t="s">
        <v>118</v>
      </c>
    </row>
    <row r="65" spans="1:19" ht="15" customHeight="1">
      <c r="A65" s="8"/>
      <c r="B65" s="8" t="s">
        <v>119</v>
      </c>
      <c r="C65" s="66">
        <f>(C24+C25+C27)/C55</f>
        <v>0.484587532467532967</v>
      </c>
      <c r="D65" s="10" t="s">
        <v>120</v>
      </c>
      <c r="E65" s="8"/>
      <c r="F65" s="8"/>
      <c r="G65" s="8"/>
      <c r="H65" s="8"/>
      <c r="I65" s="8"/>
      <c r="J65" s="8"/>
      <c r="K65" s="9"/>
      <c r="L65" s="9"/>
      <c r="M65" s="9"/>
      <c r="N65" s="9"/>
      <c r="O65" s="9"/>
      <c r="P65" s="9"/>
      <c r="Q65" s="9"/>
      <c r="R65" s="86" t="s">
        <v>121</v>
      </c>
      <c r="S65">
        <f>C24+C25+C27</f>
        <v>7462.64800000000014</v>
      </c>
    </row>
    <row r="66" spans="1:19" ht="15" customHeight="1">
      <c r="A66" s="8"/>
      <c r="B66" s="8"/>
      <c r="C66" s="49"/>
      <c r="D66" s="8"/>
      <c r="E66" s="8"/>
      <c r="F66" s="8"/>
      <c r="G66" s="8"/>
      <c r="H66" s="8"/>
      <c r="I66" s="8"/>
      <c r="J66" s="8"/>
      <c r="K66" s="9"/>
      <c r="L66" s="9"/>
      <c r="M66" s="9"/>
      <c r="N66" s="9"/>
      <c r="O66" s="9"/>
      <c r="P66" s="9"/>
      <c r="Q66" s="9"/>
      <c r="R66" s="86" t="s">
        <v>122</v>
      </c>
      <c r="S66">
        <f>12*(C44+C45)</f>
        <v>8658.02720933911041</v>
      </c>
    </row>
    <row r="67" spans="1:19" ht="15" customHeight="1">
      <c r="A67" s="11" t="s">
        <v>123</v>
      </c>
      <c r="J67" s="11"/>
      <c r="K67" s="11"/>
      <c r="L67" s="11"/>
      <c r="M67" s="11"/>
      <c r="N67" s="11"/>
      <c r="O67" s="11"/>
      <c r="P67" s="11"/>
      <c r="Q67" s="11"/>
      <c r="R67" s="86" t="s">
        <v>124</v>
      </c>
      <c r="S67">
        <f>C58-$S$66</f>
        <v>-720.675209339111007</v>
      </c>
    </row>
    <row r="68" spans="1:17" ht="22" customHeight="1">
      <c r="A68" s="8"/>
      <c r="B68" s="8" t="s">
        <v>125</v>
      </c>
      <c r="C68" s="63">
        <f>MAX(C58/12,0)</f>
        <v>661.446000000000026</v>
      </c>
      <c r="D68" s="10" t="s">
        <v>126</v>
      </c>
      <c r="E68" s="8"/>
      <c r="F68" s="8"/>
      <c r="G68" s="8"/>
      <c r="H68" s="8"/>
      <c r="I68" s="8"/>
      <c r="J68" s="8"/>
      <c r="K68" s="9"/>
      <c r="L68" s="9"/>
      <c r="M68" s="9"/>
      <c r="N68" s="9"/>
      <c r="O68" s="9"/>
      <c r="P68" s="9"/>
      <c r="Q68" s="9"/>
    </row>
    <row r="69" spans="1:17" ht="15" customHeight="1">
      <c r="A69" s="8"/>
      <c r="B69" s="8" t="s">
        <v>127</v>
      </c>
      <c r="C69" s="63">
        <f>IF(C10&gt;0,PV(C10/100/12,C11*12,-C68),0)</f>
        <v>82106.7016571643035</v>
      </c>
      <c r="D69" s="10" t="s">
        <v>128</v>
      </c>
      <c r="E69" s="8"/>
      <c r="F69" s="8"/>
      <c r="G69" s="8"/>
      <c r="H69" s="8"/>
      <c r="I69" s="8"/>
      <c r="J69" s="8"/>
      <c r="K69" s="9"/>
      <c r="L69" s="9"/>
      <c r="M69" s="9"/>
      <c r="N69" s="9"/>
      <c r="O69" s="9"/>
      <c r="P69" s="9"/>
      <c r="Q69" s="9"/>
    </row>
    <row r="70" spans="1:17" ht="15" customHeight="1">
      <c r="A70" s="8"/>
      <c r="B70" s="22" t="s">
        <v>129</v>
      </c>
      <c r="C70" s="63">
        <f>C69+C8</f>
        <v>83806.7016571643035</v>
      </c>
      <c r="D70" s="10" t="s">
        <v>130</v>
      </c>
      <c r="E70" s="8"/>
      <c r="F70" s="8"/>
      <c r="G70" s="8"/>
      <c r="H70" s="8"/>
      <c r="I70" s="8"/>
      <c r="J70" s="8"/>
      <c r="K70" s="9"/>
      <c r="L70" s="9"/>
      <c r="M70" s="9"/>
      <c r="N70" s="9"/>
      <c r="O70" s="9"/>
      <c r="P70" s="9"/>
      <c r="Q70" s="9"/>
    </row>
    <row r="71" spans="1:17" ht="15" customHeight="1">
      <c r="A71" s="8"/>
      <c r="B71" s="8" t="s">
        <v>131</v>
      </c>
      <c r="C71" s="63">
        <f>1-(C6/C70)</f>
        <v>-0.0142386983288899982</v>
      </c>
      <c r="D71" s="10" t="s">
        <v>132</v>
      </c>
      <c r="E71" s="8"/>
      <c r="F71" s="8"/>
      <c r="G71" s="8"/>
      <c r="H71" s="8"/>
      <c r="I71" s="8"/>
      <c r="J71" s="8"/>
      <c r="K71" s="9"/>
      <c r="L71" s="9"/>
      <c r="M71" s="9"/>
      <c r="N71" s="9"/>
      <c r="O71" s="9"/>
      <c r="P71" s="9"/>
      <c r="Q71" s="9"/>
    </row>
    <row r="72" spans="1:17" ht="15" customHeight="1">
      <c r="A72" s="8"/>
      <c r="B72" s="8"/>
      <c r="C72" s="46"/>
      <c r="D72" s="8"/>
      <c r="E72" s="8"/>
      <c r="F72" s="8"/>
      <c r="G72" s="8"/>
      <c r="H72" s="8"/>
      <c r="I72" s="8"/>
      <c r="J72" s="8"/>
      <c r="K72" s="9"/>
      <c r="L72" s="9"/>
      <c r="M72" s="9"/>
      <c r="N72" s="9"/>
      <c r="O72" s="9"/>
      <c r="P72" s="9"/>
      <c r="Q72" s="9"/>
    </row>
    <row r="73" spans="1:17" ht="22" customHeight="1">
      <c r="A73" s="11" t="s">
        <v>133</v>
      </c>
      <c r="J73" s="11"/>
      <c r="K73" s="11"/>
      <c r="L73" s="11"/>
      <c r="M73" s="11"/>
      <c r="N73" s="11"/>
      <c r="O73" s="11"/>
      <c r="P73" s="11"/>
      <c r="Q73" s="11"/>
    </row>
    <row r="74" spans="1:17" ht="19.50" customHeight="1">
      <c r="A74" s="8"/>
      <c r="B74" s="8"/>
      <c r="C74" s="8"/>
      <c r="D74" s="27" t="s">
        <v>134</v>
      </c>
      <c r="E74" s="27" t="s">
        <v>135</v>
      </c>
      <c r="F74" s="27" t="s">
        <v>136</v>
      </c>
      <c r="G74" s="27" t="s">
        <v>137</v>
      </c>
      <c r="H74" s="27" t="s">
        <v>138</v>
      </c>
      <c r="I74" s="27" t="s">
        <v>139</v>
      </c>
      <c r="J74" s="27" t="s">
        <v>140</v>
      </c>
      <c r="K74" s="9"/>
      <c r="L74" s="9"/>
      <c r="M74" s="9"/>
      <c r="N74" s="9"/>
      <c r="O74" s="9"/>
      <c r="P74" s="9"/>
      <c r="Q74" s="9"/>
    </row>
    <row r="75" spans="1:17" ht="19.50" customHeight="1">
      <c r="A75" s="8"/>
      <c r="B75" s="28" t="s">
        <v>141</v>
      </c>
      <c r="C75" s="8"/>
      <c r="D75" s="67">
        <f>B117</f>
        <v>12600</v>
      </c>
      <c r="E75" s="67">
        <f>C30*(1+C31/100)*12-C30*C38</f>
        <v>15403.3600000000006</v>
      </c>
      <c r="F75" s="67">
        <f>E75*(1+C31/100)</f>
        <v>15406.4406720000006</v>
      </c>
      <c r="G75" s="67">
        <f>F75*(1+C31/100)</f>
        <v>15409.5219601343997</v>
      </c>
      <c r="H75" s="67">
        <f>G75*(1+C31/100)</f>
        <v>15412.6038645263998</v>
      </c>
      <c r="I75" s="67">
        <f>H75*(1+C31/100)</f>
        <v>15415.6863852992992</v>
      </c>
      <c r="J75" s="67">
        <f>SUM(D75:I75)</f>
        <v>89647.6128819600999</v>
      </c>
      <c r="K75" s="9"/>
      <c r="L75" s="9"/>
      <c r="M75" s="9"/>
      <c r="N75" s="9"/>
      <c r="O75" s="9"/>
      <c r="P75" s="9"/>
      <c r="Q75" s="9"/>
    </row>
    <row r="76" spans="1:17" ht="19.50" customHeight="1">
      <c r="A76" s="8"/>
      <c r="B76" s="28" t="s">
        <v>142</v>
      </c>
      <c r="C76" s="8"/>
      <c r="D76" s="67">
        <f>C25</f>
        <v>550</v>
      </c>
      <c r="E76" s="67">
        <f>D76*(1+C32/100)</f>
        <v>550.164999999999964</v>
      </c>
      <c r="F76" s="67">
        <f>E76*(1+C32/100)</f>
        <v>550.330049499999973</v>
      </c>
      <c r="G76" s="67">
        <f>F76*(1+C32/100)</f>
        <v>550.49514851485003</v>
      </c>
      <c r="H76" s="67">
        <f>G76*(1+C32/100)</f>
        <v>550.660297059405025</v>
      </c>
      <c r="I76" s="67">
        <f>H76*(1+C32/100)</f>
        <v>550.825495148523032</v>
      </c>
      <c r="J76" s="67">
        <f>SUM(D76:I76)</f>
        <v>3302.47599022278018</v>
      </c>
      <c r="K76" s="9"/>
      <c r="L76" s="9"/>
      <c r="M76" s="9"/>
      <c r="N76" s="9"/>
      <c r="O76" s="9"/>
      <c r="P76" s="9"/>
      <c r="Q76" s="9"/>
    </row>
    <row r="77" spans="1:17" ht="19.50" customHeight="1">
      <c r="A77" s="8"/>
      <c r="B77" s="28" t="s">
        <v>143</v>
      </c>
      <c r="C77" s="8"/>
      <c r="D77" s="67">
        <f>C24</f>
        <v>912.648000000000025</v>
      </c>
      <c r="E77" s="67">
        <f>D77*(1+C32/100)</f>
        <v>912.921794399999953</v>
      </c>
      <c r="F77" s="67">
        <f>E77*(1+C32/100)</f>
        <v>913.19567093831995</v>
      </c>
      <c r="G77" s="67">
        <f>F77*(1+C32/100)</f>
        <v>913.469629639601976</v>
      </c>
      <c r="H77" s="67">
        <f>G77*(1+C32/100)</f>
        <v>913.743670528494022</v>
      </c>
      <c r="I77" s="67">
        <f>H77*(1+C32/100)</f>
        <v>914.017793629653056</v>
      </c>
      <c r="J77" s="67">
        <f>SUM(D77:I77)</f>
        <v>5479.99655913606966</v>
      </c>
      <c r="K77" s="9"/>
      <c r="L77" s="9"/>
      <c r="M77" s="9"/>
      <c r="N77" s="9"/>
      <c r="O77" s="9"/>
      <c r="P77" s="9"/>
      <c r="Q77" s="9"/>
    </row>
    <row r="78" spans="1:17" ht="19.50" customHeight="1">
      <c r="A78" s="8"/>
      <c r="B78" s="28" t="s">
        <v>144</v>
      </c>
      <c r="C78" s="8"/>
      <c r="D78" s="67">
        <f>C27</f>
        <v>6000</v>
      </c>
      <c r="E78" s="67">
        <f>D78*(1+C32/100)</f>
        <v>6001.80000000000018</v>
      </c>
      <c r="F78" s="67">
        <f>E78*(1+C32/100)</f>
        <v>6003.60054000000036</v>
      </c>
      <c r="G78" s="67">
        <f>F78*(1+C32/100)</f>
        <v>6005.40162016199974</v>
      </c>
      <c r="H78" s="67">
        <f>G78*(1+C32/100)</f>
        <v>6007.20324064805027</v>
      </c>
      <c r="I78" s="67">
        <f>H78*(1+C32/100)</f>
        <v>6009.00540162025027</v>
      </c>
      <c r="J78" s="67">
        <f>SUM(D78:I78)</f>
        <v>36027.0108024302972</v>
      </c>
      <c r="K78" s="9"/>
      <c r="L78" s="9"/>
      <c r="M78" s="9"/>
      <c r="N78" s="9"/>
      <c r="O78" s="9"/>
      <c r="P78" s="9"/>
      <c r="Q78" s="9"/>
    </row>
    <row r="79" spans="1:17" ht="19.50" customHeight="1">
      <c r="A79" s="8"/>
      <c r="B79" s="28" t="s">
        <v>145</v>
      </c>
      <c r="C79" s="8"/>
      <c r="D79" s="68">
        <f>C12*C10/100</f>
        <v>3750</v>
      </c>
      <c r="E79" s="67">
        <f>D79*0.97</f>
        <v>3637.5</v>
      </c>
      <c r="F79" s="67">
        <f>E79*0.97</f>
        <v>3528.375</v>
      </c>
      <c r="G79" s="67">
        <f>F79*0.97</f>
        <v>3422.52374999999984</v>
      </c>
      <c r="H79" s="67">
        <f>G79*0.97</f>
        <v>3319.84803749999992</v>
      </c>
      <c r="I79" s="67">
        <f>H79*0.97</f>
        <v>3220.25259637499994</v>
      </c>
      <c r="J79" s="67">
        <f>SUM(D79:I79)</f>
        <v>20878.4993838750015</v>
      </c>
      <c r="K79" s="14"/>
      <c r="L79" s="9"/>
      <c r="M79" s="9"/>
      <c r="N79" s="9"/>
      <c r="O79" s="9"/>
      <c r="P79" s="9"/>
      <c r="Q79" s="9"/>
    </row>
    <row r="80" spans="1:17" ht="19.50" customHeight="1">
      <c r="A80" s="8"/>
      <c r="B80" s="28" t="s">
        <v>146</v>
      </c>
      <c r="C80" s="8"/>
      <c r="D80" s="67">
        <f>SUM(D76:D78)</f>
        <v>7462.64800000000014</v>
      </c>
      <c r="E80" s="67">
        <f>SUM(E76:E78)</f>
        <v>7464.88679440000033</v>
      </c>
      <c r="F80" s="67">
        <f>SUM(F76:F78)</f>
        <v>7467.12626043832006</v>
      </c>
      <c r="G80" s="67">
        <f>SUM(G76:G78)</f>
        <v>7469.3663983164497</v>
      </c>
      <c r="H80" s="67">
        <f>SUM(H76:H78)</f>
        <v>7471.60720823594966</v>
      </c>
      <c r="I80" s="67">
        <f>SUM(I76:I78)</f>
        <v>7473.84869039843034</v>
      </c>
      <c r="J80" s="67">
        <f>SUM(D80:I80)</f>
        <v>44809.4833517891966</v>
      </c>
      <c r="K80" s="9"/>
      <c r="L80" s="9"/>
      <c r="M80" s="9"/>
      <c r="N80" s="9"/>
      <c r="O80" s="9"/>
      <c r="P80" s="9"/>
      <c r="Q80" s="9"/>
    </row>
    <row r="81" spans="1:17" ht="19.50" customHeight="1">
      <c r="A81" s="8"/>
      <c r="B81" s="28"/>
      <c r="C81" s="8"/>
      <c r="D81" s="67"/>
      <c r="E81" s="67"/>
      <c r="F81" s="67"/>
      <c r="G81" s="67"/>
      <c r="H81" s="67"/>
      <c r="I81" s="67"/>
      <c r="J81" s="67"/>
      <c r="K81" s="9"/>
      <c r="L81" s="9"/>
      <c r="M81" s="9"/>
      <c r="N81" s="9"/>
      <c r="O81" s="9"/>
      <c r="P81" s="9"/>
      <c r="Q81" s="9"/>
    </row>
    <row r="82" spans="1:17" ht="19.50" customHeight="1">
      <c r="A82" s="8"/>
      <c r="B82" s="29" t="s">
        <v>147</v>
      </c>
      <c r="C82" s="8"/>
      <c r="D82" s="67">
        <f>D75-D80</f>
        <v>5137.35199999999986</v>
      </c>
      <c r="E82" s="67">
        <f>E75-E80</f>
        <v>7938.47320560000026</v>
      </c>
      <c r="F82" s="67">
        <f>F75-F80</f>
        <v>7939.31441156167966</v>
      </c>
      <c r="G82" s="67">
        <f>G75-G80</f>
        <v>7940.15556181795</v>
      </c>
      <c r="H82" s="67">
        <f>H75-H80</f>
        <v>7940.99665629045012</v>
      </c>
      <c r="I82" s="67">
        <f>I75-I80</f>
        <v>7941.83769490086979</v>
      </c>
      <c r="J82" s="67">
        <f>SUM(D82:I82)</f>
        <v>44838.1295301709979</v>
      </c>
      <c r="K82" s="9"/>
      <c r="L82" s="9"/>
      <c r="M82" s="9"/>
      <c r="N82" s="9"/>
      <c r="O82" s="9"/>
      <c r="P82" s="9"/>
      <c r="Q82" s="9"/>
    </row>
    <row r="83" spans="1:17" ht="19.50" customHeight="1">
      <c r="A83" s="8"/>
      <c r="B83" s="29" t="s">
        <v>148</v>
      </c>
      <c r="C83" s="8"/>
      <c r="D83" s="67">
        <f>D82/12</f>
        <v>428.112666666666996</v>
      </c>
      <c r="E83" s="67">
        <f>E82/12</f>
        <v>661.539433799999983</v>
      </c>
      <c r="F83" s="67">
        <f>F82/12</f>
        <v>661.609534296807055</v>
      </c>
      <c r="G83" s="67">
        <f>G82/12</f>
        <v>661.679630151495985</v>
      </c>
      <c r="H83" s="67">
        <f>H82/12</f>
        <v>661.749721357537965</v>
      </c>
      <c r="I83" s="67">
        <f>I82/12</f>
        <v>661.819807908406005</v>
      </c>
      <c r="J83" s="47"/>
      <c r="K83" s="9"/>
      <c r="L83" s="9"/>
      <c r="M83" s="9"/>
      <c r="N83" s="9"/>
      <c r="O83" s="9"/>
      <c r="P83" s="9"/>
      <c r="Q83" s="9"/>
    </row>
    <row r="84" spans="1:17" ht="19.50" customHeight="1">
      <c r="A84" s="8"/>
      <c r="B84" s="29" t="s">
        <v>149</v>
      </c>
      <c r="C84" s="8"/>
      <c r="D84" s="69">
        <f>D82/C52</f>
        <v>0.203700256412558023</v>
      </c>
      <c r="E84" s="69">
        <f>E82/C52</f>
        <v>0.314767029299324008</v>
      </c>
      <c r="F84" s="69">
        <f>F82/C52</f>
        <v>0.314800383811549001</v>
      </c>
      <c r="G84" s="69">
        <f>G82/C52</f>
        <v>0.314833736115009</v>
      </c>
      <c r="H84" s="69">
        <f>H82/C52</f>
        <v>0.314867086206596003</v>
      </c>
      <c r="I84" s="69">
        <f>I82/C52</f>
        <v>0.314900434083206004</v>
      </c>
      <c r="J84" s="47"/>
      <c r="K84" s="9"/>
      <c r="L84" s="9"/>
      <c r="M84" s="9"/>
      <c r="N84" s="9"/>
      <c r="O84" s="9"/>
      <c r="P84" s="9"/>
      <c r="Q84" s="9"/>
    </row>
    <row r="85" spans="1:17" ht="19.50" customHeight="1">
      <c r="A85" s="8"/>
      <c r="B85" s="29"/>
      <c r="C85" s="8"/>
      <c r="D85" s="67"/>
      <c r="E85" s="67"/>
      <c r="F85" s="67"/>
      <c r="G85" s="67"/>
      <c r="H85" s="67"/>
      <c r="I85" s="67"/>
      <c r="J85" s="47"/>
      <c r="K85" s="9"/>
      <c r="L85" s="9"/>
      <c r="M85" s="9"/>
      <c r="N85" s="9"/>
      <c r="O85" s="9"/>
      <c r="P85" s="9"/>
      <c r="Q85" s="9"/>
    </row>
    <row r="86" spans="1:17" ht="32.70" customHeight="1">
      <c r="A86" s="8"/>
      <c r="B86" s="29" t="s">
        <v>150</v>
      </c>
      <c r="C86" s="8"/>
      <c r="D86" s="67">
        <f>12*(C44+C45)</f>
        <v>8658.02720933911041</v>
      </c>
      <c r="E86" s="67">
        <f>D86</f>
        <v>8658.02720933911041</v>
      </c>
      <c r="F86" s="67">
        <f>D86</f>
        <v>8658.02720933911041</v>
      </c>
      <c r="G86" s="67">
        <f>D86</f>
        <v>8658.02720933911041</v>
      </c>
      <c r="H86" s="67">
        <f>D86</f>
        <v>8658.02720933911041</v>
      </c>
      <c r="I86" s="67">
        <f>D86</f>
        <v>8658.02720933911041</v>
      </c>
      <c r="J86" s="47"/>
      <c r="K86" s="9"/>
      <c r="L86" s="9"/>
      <c r="M86" s="9"/>
      <c r="N86" s="9"/>
      <c r="O86" s="9"/>
      <c r="P86" s="9"/>
      <c r="Q86" s="9"/>
    </row>
    <row r="87" spans="1:17" ht="28.50" customHeight="1">
      <c r="A87" s="8"/>
      <c r="B87" s="29" t="s">
        <v>151</v>
      </c>
      <c r="C87" s="8"/>
      <c r="D87" s="67">
        <f>(D82-D86)/12</f>
        <v>-293.389600778259023</v>
      </c>
      <c r="E87" s="67">
        <f>(E82-E86)/12</f>
        <v>-59.9628336449258015</v>
      </c>
      <c r="F87" s="67">
        <f>(F82-F86)/12</f>
        <v>-59.8927331481192979</v>
      </c>
      <c r="G87" s="67">
        <f>(G82-G86)/12</f>
        <v>-59.8226372934300983</v>
      </c>
      <c r="H87" s="67">
        <f>(H82-H86)/12</f>
        <v>-59.7525460873883034</v>
      </c>
      <c r="I87" s="67">
        <f>(I82-I86)/12</f>
        <v>-59.6824595365200992</v>
      </c>
      <c r="J87" s="47"/>
      <c r="K87" s="9"/>
      <c r="L87" s="9"/>
      <c r="M87" s="9"/>
      <c r="N87" s="9"/>
      <c r="O87" s="9"/>
      <c r="P87" s="9"/>
      <c r="Q87" s="9"/>
    </row>
    <row r="88" spans="1:17" ht="19.50" customHeight="1">
      <c r="A88" s="8"/>
      <c r="B88" s="29"/>
      <c r="C88" s="8"/>
      <c r="D88" s="67"/>
      <c r="E88" s="67"/>
      <c r="F88" s="67"/>
      <c r="G88" s="67"/>
      <c r="H88" s="67"/>
      <c r="I88" s="67"/>
      <c r="J88" s="47"/>
      <c r="K88" s="9"/>
      <c r="L88" s="9"/>
      <c r="M88" s="9"/>
      <c r="N88" s="9"/>
      <c r="O88" s="9"/>
      <c r="P88" s="9"/>
      <c r="Q88" s="9"/>
    </row>
    <row r="89" spans="1:17" ht="19.50" customHeight="1">
      <c r="A89" s="8"/>
      <c r="B89" s="29" t="s">
        <v>152</v>
      </c>
      <c r="C89" s="8"/>
      <c r="D89" s="67"/>
      <c r="E89" s="67"/>
      <c r="F89" s="67"/>
      <c r="G89" s="67"/>
      <c r="H89" s="67"/>
      <c r="I89" s="67"/>
      <c r="J89" s="47"/>
      <c r="K89" s="9"/>
      <c r="L89" s="9"/>
      <c r="M89" s="9"/>
      <c r="N89" s="9"/>
      <c r="O89" s="9"/>
      <c r="P89" s="9"/>
      <c r="Q89" s="9"/>
    </row>
    <row r="90" spans="1:17" ht="19.50" customHeight="1">
      <c r="A90" s="8"/>
      <c r="B90" s="29" t="s">
        <v>153</v>
      </c>
      <c r="C90" s="8"/>
      <c r="D90" s="67">
        <f>C54</f>
        <v>3630.18181818181984</v>
      </c>
      <c r="E90" s="67">
        <f>D90</f>
        <v>3630.18181818181984</v>
      </c>
      <c r="F90" s="67">
        <f>D90</f>
        <v>3630.18181818181984</v>
      </c>
      <c r="G90" s="67">
        <f>D90</f>
        <v>3630.18181818181984</v>
      </c>
      <c r="H90" s="67">
        <f>D90</f>
        <v>3630.18181818181984</v>
      </c>
      <c r="I90" s="67">
        <f>D90</f>
        <v>3630.18181818181984</v>
      </c>
      <c r="J90" s="47"/>
      <c r="K90" s="9"/>
      <c r="L90" s="9"/>
      <c r="M90" s="9"/>
      <c r="N90" s="9"/>
      <c r="O90" s="9"/>
      <c r="P90" s="9"/>
      <c r="Q90" s="9"/>
    </row>
    <row r="91" spans="1:17" ht="19.50" customHeight="1">
      <c r="A91" s="8"/>
      <c r="B91" s="29" t="s">
        <v>154</v>
      </c>
      <c r="C91" s="8"/>
      <c r="D91" s="67">
        <f>D82-D79-D90</f>
        <v>-2242.82981818181997</v>
      </c>
      <c r="E91" s="67">
        <f>E82-E79-E90</f>
        <v>670.791387418180989</v>
      </c>
      <c r="F91" s="67">
        <f>F82-F79-F90</f>
        <v>780.757593379860054</v>
      </c>
      <c r="G91" s="67">
        <f>G82-G79-G90</f>
        <v>887.449993636129989</v>
      </c>
      <c r="H91" s="67">
        <f>H82-H79-H90</f>
        <v>990.966800608630024</v>
      </c>
      <c r="I91" s="67">
        <f>I82-I79-I90</f>
        <v>1091.40328034405002</v>
      </c>
      <c r="J91" s="47"/>
      <c r="K91" s="9"/>
      <c r="L91" s="9"/>
      <c r="M91" s="9"/>
      <c r="N91" s="9"/>
      <c r="O91" s="9"/>
      <c r="P91" s="9"/>
      <c r="Q91" s="9"/>
    </row>
    <row r="92" spans="1:17" ht="19.50" customHeight="1">
      <c r="A92" s="8"/>
      <c r="B92" s="29" t="s">
        <v>155</v>
      </c>
      <c r="C92" s="8"/>
      <c r="D92" s="67">
        <f>-D91*(C40/100)</f>
        <v>5.60707454545454986</v>
      </c>
      <c r="E92" s="67">
        <f>-E91*(C40/100)</f>
        <v>-1.67697846854545007</v>
      </c>
      <c r="F92" s="67">
        <f>-F91*(C40/100)</f>
        <v>-1.95189398344964999</v>
      </c>
      <c r="G92" s="67">
        <f>-G91*(C40/100)</f>
        <v>-2.21862498409032982</v>
      </c>
      <c r="H92" s="67">
        <f>-H91*(C40/100)</f>
        <v>-2.47741700152158018</v>
      </c>
      <c r="I92" s="67">
        <f>-I91*(C40/100)</f>
        <v>-2.72850820086013002</v>
      </c>
      <c r="J92" s="47"/>
      <c r="K92" s="9"/>
      <c r="L92" s="9"/>
      <c r="M92" s="9"/>
      <c r="N92" s="9"/>
      <c r="O92" s="9"/>
      <c r="P92" s="9"/>
      <c r="Q92" s="9"/>
    </row>
    <row r="93" spans="1:17" ht="19.50" customHeight="1">
      <c r="A93" s="8"/>
      <c r="B93" s="29"/>
      <c r="C93" s="8"/>
      <c r="D93" s="70"/>
      <c r="E93" s="70"/>
      <c r="F93" s="70"/>
      <c r="G93" s="70"/>
      <c r="H93" s="70"/>
      <c r="I93" s="70"/>
      <c r="J93" s="47"/>
      <c r="K93" s="9"/>
      <c r="L93" s="9"/>
      <c r="M93" s="9"/>
      <c r="N93" s="9"/>
      <c r="O93" s="9"/>
      <c r="P93" s="9"/>
      <c r="Q93" s="9"/>
    </row>
    <row r="94" spans="1:17" ht="19.50" customHeight="1">
      <c r="A94" s="8"/>
      <c r="B94" s="29" t="s">
        <v>156</v>
      </c>
      <c r="C94" s="8"/>
      <c r="D94" s="67"/>
      <c r="E94" s="67"/>
      <c r="F94" s="67"/>
      <c r="G94" s="67"/>
      <c r="H94" s="67"/>
      <c r="I94" s="67"/>
      <c r="J94" s="47"/>
      <c r="K94" s="9"/>
      <c r="L94" s="9"/>
      <c r="M94" s="9"/>
      <c r="N94" s="9"/>
      <c r="O94" s="9"/>
      <c r="P94" s="9"/>
      <c r="Q94" s="9"/>
    </row>
    <row r="95" spans="1:17" ht="19.50" customHeight="1">
      <c r="A95" s="8"/>
      <c r="B95" s="29" t="s">
        <v>157</v>
      </c>
      <c r="C95" s="8"/>
      <c r="D95" s="67">
        <f>D87*12+D92</f>
        <v>-3515.06813479366019</v>
      </c>
      <c r="E95" s="67">
        <f>E87*12+E92</f>
        <v>-721.230982207655984</v>
      </c>
      <c r="F95" s="67">
        <f>F87*12+F92</f>
        <v>-720.664691760881965</v>
      </c>
      <c r="G95" s="67">
        <f>G87*12+G92</f>
        <v>-720.09027250525105</v>
      </c>
      <c r="H95" s="67">
        <f>H87*12+H92</f>
        <v>-719.507970050182053</v>
      </c>
      <c r="I95" s="67">
        <f>I87*12+I92</f>
        <v>-718.918022639100968</v>
      </c>
      <c r="J95" s="55"/>
      <c r="K95" s="9"/>
      <c r="L95" s="9"/>
      <c r="M95" s="9"/>
      <c r="N95" s="9"/>
      <c r="O95" s="9"/>
      <c r="P95" s="9"/>
      <c r="Q95" s="9"/>
    </row>
    <row r="96" spans="1:17" ht="19.50" customHeight="1">
      <c r="A96" s="8"/>
      <c r="B96" s="29" t="s">
        <v>158</v>
      </c>
      <c r="C96" s="8"/>
      <c r="D96" s="67">
        <f>C6*(1+C33/100)</f>
        <v>85017</v>
      </c>
      <c r="E96" s="67">
        <f>D96*(1+C33/100)</f>
        <v>85034.0034000000014</v>
      </c>
      <c r="F96" s="67">
        <f>E96*(1+C33/100)</f>
        <v>85051.0102006800007</v>
      </c>
      <c r="G96" s="67">
        <f>F96*(1+C33/100)</f>
        <v>85068.020402720198</v>
      </c>
      <c r="H96" s="67">
        <f>G96*(1+C33/100)</f>
        <v>85085.0340068007063</v>
      </c>
      <c r="I96" s="67">
        <f>H96*(1+C33/100)</f>
        <v>85102.0510136021039</v>
      </c>
      <c r="J96" s="47"/>
      <c r="K96" s="9"/>
      <c r="L96" s="9"/>
      <c r="M96" s="9"/>
      <c r="N96" s="9"/>
      <c r="O96" s="9"/>
      <c r="P96" s="9"/>
      <c r="Q96" s="9"/>
    </row>
    <row r="97" spans="1:17" ht="19.50" customHeight="1">
      <c r="A97" s="8"/>
      <c r="B97" s="29" t="s">
        <v>159</v>
      </c>
      <c r="C97" s="8"/>
      <c r="D97" s="69">
        <f>D95/C52</f>
        <v>-0.139375359205497018</v>
      </c>
      <c r="E97" s="69">
        <f>E95/C52</f>
        <v>-0.0285974050460980003</v>
      </c>
      <c r="F97" s="69">
        <f>F95/C52</f>
        <v>-0.0285749511614479967</v>
      </c>
      <c r="G97" s="69">
        <f>G95/C52</f>
        <v>-0.0285521749628030008</v>
      </c>
      <c r="H97" s="69">
        <f>H95/C52</f>
        <v>-0.0285290861887800027</v>
      </c>
      <c r="I97" s="69">
        <f>I95/C52</f>
        <v>-0.0285056942859269959</v>
      </c>
      <c r="J97" s="47"/>
      <c r="K97" s="9"/>
      <c r="L97" s="9"/>
      <c r="M97" s="9"/>
      <c r="N97" s="9"/>
      <c r="O97" s="9"/>
      <c r="P97" s="9"/>
      <c r="Q97" s="9"/>
    </row>
    <row r="98" spans="1:17" ht="19.50" customHeight="1">
      <c r="A98" s="8"/>
      <c r="B98" s="8"/>
      <c r="C98" s="8"/>
      <c r="D98" s="46"/>
      <c r="E98" s="46"/>
      <c r="F98" s="46"/>
      <c r="G98" s="46"/>
      <c r="H98" s="46"/>
      <c r="I98" s="46"/>
      <c r="J98" s="46"/>
      <c r="K98" s="9"/>
      <c r="L98" s="9"/>
      <c r="M98" s="9"/>
      <c r="N98" s="9"/>
      <c r="O98" s="9"/>
      <c r="P98" s="9"/>
      <c r="Q98" s="9"/>
    </row>
    <row r="99" spans="1:17" ht="19.50" customHeight="1">
      <c r="A99" s="8"/>
      <c r="B99" s="8"/>
      <c r="C99" s="8"/>
      <c r="D99" s="46"/>
      <c r="E99" s="46"/>
      <c r="F99" s="46"/>
      <c r="G99" s="46"/>
      <c r="H99" s="46"/>
      <c r="I99" s="46"/>
      <c r="J99" s="46"/>
      <c r="K99" s="9"/>
      <c r="L99" s="9"/>
      <c r="M99" s="9"/>
      <c r="N99" s="9"/>
      <c r="O99" s="9"/>
      <c r="P99" s="9"/>
      <c r="Q99" s="9"/>
    </row>
    <row r="100" spans="1:17" ht="19.50" customHeight="1">
      <c r="A100" s="8"/>
      <c r="B100" s="41" t="s">
        <v>160</v>
      </c>
      <c r="C100" s="41"/>
      <c r="D100" s="41"/>
      <c r="E100" s="8"/>
      <c r="F100" s="8"/>
      <c r="G100" s="8"/>
      <c r="H100" s="8"/>
      <c r="I100" s="8"/>
      <c r="J100" s="8"/>
      <c r="K100" s="9"/>
      <c r="L100" s="9"/>
      <c r="M100" s="9"/>
      <c r="N100" s="9"/>
      <c r="O100" s="9"/>
      <c r="P100" s="9"/>
      <c r="Q100" s="9"/>
    </row>
    <row r="101" spans="1:17" ht="1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9"/>
      <c r="M101" s="9"/>
      <c r="N101" s="9"/>
      <c r="O101" s="9"/>
      <c r="P101" s="9"/>
      <c r="Q101" s="9"/>
    </row>
    <row r="102" spans="1:17" ht="1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9"/>
      <c r="M102" s="9"/>
      <c r="N102" s="9"/>
      <c r="O102" s="9"/>
      <c r="P102" s="9"/>
      <c r="Q102" s="9"/>
    </row>
    <row r="103" spans="1:17" ht="22" customHeight="1">
      <c r="A103" s="11" t="s">
        <v>161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22" customHeight="1">
      <c r="A104" s="56" t="s">
        <v>162</v>
      </c>
      <c r="B104" s="56" t="s">
        <v>163</v>
      </c>
      <c r="C104" s="56" t="s">
        <v>164</v>
      </c>
      <c r="D104" s="56" t="s">
        <v>165</v>
      </c>
      <c r="E104" s="56" t="s">
        <v>166</v>
      </c>
      <c r="F104" s="56" t="s">
        <v>167</v>
      </c>
      <c r="G104" s="56" t="s">
        <v>168</v>
      </c>
      <c r="H104" s="8"/>
      <c r="I104" s="8"/>
      <c r="J104" s="8"/>
      <c r="K104" s="9"/>
      <c r="L104" s="9"/>
      <c r="M104" s="9"/>
      <c r="N104" s="9"/>
      <c r="O104" s="9"/>
      <c r="P104" s="9"/>
      <c r="Q104" s="9"/>
    </row>
    <row r="105" spans="1:17" ht="21" customHeight="1">
      <c r="A105" s="30" t="n">
        <v>1</v>
      </c>
      <c r="B105" s="48">
        <f>IF(A105&lt;=$C$36,0,$C$30)</f>
        <v>0</v>
      </c>
      <c r="C105" s="48">
        <f>($C$24+$C$25+$C$27)/12</f>
        <v>621.887333333333004</v>
      </c>
      <c r="D105" s="48">
        <f>B105-C105</f>
        <v>-621.887333333333004</v>
      </c>
      <c r="E105" s="48">
        <f>$C$44+$C$45</f>
        <v>721.502267444926019</v>
      </c>
      <c r="F105" s="48">
        <f>D105-E105</f>
        <v>-1343.38960077826005</v>
      </c>
      <c r="G105" s="30" t="str">
        <f>IF(B105=0,"Vacant / turn month","Occupied month")</f>
        <v>Vacant / turn month</v>
      </c>
      <c r="H105" s="8"/>
      <c r="I105" s="8"/>
      <c r="J105" s="8"/>
      <c r="K105" s="9"/>
      <c r="L105" s="9"/>
      <c r="M105" s="9"/>
      <c r="N105" s="9"/>
      <c r="O105" s="9"/>
      <c r="P105" s="9"/>
      <c r="Q105" s="9"/>
    </row>
    <row r="106" spans="1:17" ht="21" customHeight="1">
      <c r="A106" s="30" t="n">
        <v>2</v>
      </c>
      <c r="B106" s="48">
        <f>IF(A106&lt;=$C$36,0,$C$30)</f>
        <v>0</v>
      </c>
      <c r="C106" s="48">
        <f>($C$24+$C$25+$C$27)/12</f>
        <v>621.887333333333004</v>
      </c>
      <c r="D106" s="48">
        <f>B106-C106</f>
        <v>-621.887333333333004</v>
      </c>
      <c r="E106" s="48">
        <f>$C$44+$C$45</f>
        <v>721.502267444926019</v>
      </c>
      <c r="F106" s="48">
        <f>D106-E106</f>
        <v>-1343.38960077826005</v>
      </c>
      <c r="G106" s="30" t="str">
        <f>IF(B106=0,"Vacant / turn month","Occupied month")</f>
        <v>Vacant / turn month</v>
      </c>
      <c r="H106" s="8"/>
      <c r="I106" s="8"/>
      <c r="J106" s="8"/>
      <c r="K106" s="9"/>
      <c r="L106" s="9"/>
      <c r="M106" s="9"/>
      <c r="N106" s="9"/>
      <c r="O106" s="9"/>
      <c r="P106" s="9"/>
      <c r="Q106" s="9"/>
    </row>
    <row r="107" spans="1:17" ht="21" customHeight="1">
      <c r="A107" s="30" t="n">
        <v>3</v>
      </c>
      <c r="B107" s="48">
        <f>IF(A107&lt;=$C$36,0,$C$30)</f>
        <v>0</v>
      </c>
      <c r="C107" s="48">
        <f>($C$24+$C$25+$C$27)/12</f>
        <v>621.887333333333004</v>
      </c>
      <c r="D107" s="48">
        <f>B107-C107</f>
        <v>-621.887333333333004</v>
      </c>
      <c r="E107" s="48">
        <f>$C$44+$C$45</f>
        <v>721.502267444926019</v>
      </c>
      <c r="F107" s="48">
        <f>D107-E107</f>
        <v>-1343.38960077826005</v>
      </c>
      <c r="G107" s="30" t="str">
        <f>IF(B107=0,"Vacant / turn month","Occupied month")</f>
        <v>Vacant / turn month</v>
      </c>
      <c r="H107" s="8"/>
      <c r="I107" s="8"/>
      <c r="J107" s="8"/>
      <c r="K107" s="9"/>
      <c r="L107" s="9"/>
      <c r="M107" s="9"/>
      <c r="N107" s="9"/>
      <c r="O107" s="9"/>
      <c r="P107" s="9"/>
      <c r="Q107" s="9"/>
    </row>
    <row r="108" spans="1:17" ht="21" customHeight="1">
      <c r="A108" s="30" t="n">
        <v>4</v>
      </c>
      <c r="B108" s="48">
        <f>IF(A108&lt;=$C$36,0,$C$30)</f>
        <v>1400</v>
      </c>
      <c r="C108" s="48">
        <f>($C$24+$C$25+$C$27)/12</f>
        <v>621.887333333333004</v>
      </c>
      <c r="D108" s="48">
        <f>B108-C108</f>
        <v>778.112666666666996</v>
      </c>
      <c r="E108" s="48">
        <f>$C$44+$C$45</f>
        <v>721.502267444926019</v>
      </c>
      <c r="F108" s="48">
        <f>D108-E108</f>
        <v>56.6103992217409981</v>
      </c>
      <c r="G108" s="30" t="str">
        <f>IF(B108=0,"Vacant / turn month","Occupied month")</f>
        <v>Occupied month</v>
      </c>
      <c r="H108" s="8"/>
      <c r="I108" s="8"/>
      <c r="J108" s="8"/>
      <c r="K108" s="9"/>
      <c r="L108" s="9"/>
      <c r="M108" s="9"/>
      <c r="N108" s="9"/>
      <c r="O108" s="9"/>
      <c r="P108" s="9"/>
      <c r="Q108" s="9"/>
    </row>
    <row r="109" spans="1:17" ht="21" customHeight="1">
      <c r="A109" s="30" t="n">
        <v>5</v>
      </c>
      <c r="B109" s="48">
        <f>IF(A109&lt;=$C$36,0,$C$30)</f>
        <v>1400</v>
      </c>
      <c r="C109" s="48">
        <f>($C$24+$C$25+$C$27)/12</f>
        <v>621.887333333333004</v>
      </c>
      <c r="D109" s="48">
        <f>B109-C109</f>
        <v>778.112666666666996</v>
      </c>
      <c r="E109" s="48">
        <f>$C$44+$C$45</f>
        <v>721.502267444926019</v>
      </c>
      <c r="F109" s="48">
        <f>D109-E109</f>
        <v>56.6103992217409981</v>
      </c>
      <c r="G109" s="30" t="str">
        <f>IF(B109=0,"Vacant / turn month","Occupied month")</f>
        <v>Occupied month</v>
      </c>
      <c r="H109" s="8"/>
      <c r="I109" s="8"/>
      <c r="J109" s="8"/>
      <c r="K109" s="9"/>
      <c r="L109" s="9"/>
      <c r="M109" s="9"/>
      <c r="N109" s="9"/>
      <c r="O109" s="9"/>
      <c r="P109" s="9"/>
      <c r="Q109" s="9"/>
    </row>
    <row r="110" spans="1:17" ht="21" customHeight="1">
      <c r="A110" s="30" t="n">
        <v>6</v>
      </c>
      <c r="B110" s="48">
        <f>IF(A110&lt;=$C$36,0,$C$30)</f>
        <v>1400</v>
      </c>
      <c r="C110" s="48">
        <f>($C$24+$C$25+$C$27)/12</f>
        <v>621.887333333333004</v>
      </c>
      <c r="D110" s="48">
        <f>B110-C110</f>
        <v>778.112666666666996</v>
      </c>
      <c r="E110" s="48">
        <f>$C$44+$C$45</f>
        <v>721.502267444926019</v>
      </c>
      <c r="F110" s="48">
        <f>D110-E110</f>
        <v>56.6103992217409981</v>
      </c>
      <c r="G110" s="30" t="str">
        <f>IF(B110=0,"Vacant / turn month","Occupied month")</f>
        <v>Occupied month</v>
      </c>
      <c r="H110" s="8"/>
      <c r="I110" s="8"/>
      <c r="J110" s="8"/>
      <c r="K110" s="9"/>
      <c r="L110" s="9"/>
      <c r="M110" s="9"/>
      <c r="N110" s="9"/>
      <c r="O110" s="9"/>
      <c r="P110" s="9"/>
      <c r="Q110" s="9"/>
    </row>
    <row r="111" spans="1:17" ht="21" customHeight="1">
      <c r="A111" s="30" t="n">
        <v>7</v>
      </c>
      <c r="B111" s="48">
        <f>IF(A111&lt;=$C$36,0,$C$30)</f>
        <v>1400</v>
      </c>
      <c r="C111" s="48">
        <f>($C$24+$C$25+$C$27)/12</f>
        <v>621.887333333333004</v>
      </c>
      <c r="D111" s="48">
        <f>B111-C111</f>
        <v>778.112666666666996</v>
      </c>
      <c r="E111" s="48">
        <f>$C$44+$C$45</f>
        <v>721.502267444926019</v>
      </c>
      <c r="F111" s="48">
        <f>D111-E111</f>
        <v>56.6103992217409981</v>
      </c>
      <c r="G111" s="30" t="str">
        <f>IF(B111=0,"Vacant / turn month","Occupied month")</f>
        <v>Occupied month</v>
      </c>
      <c r="H111" s="8"/>
      <c r="I111" s="8"/>
      <c r="J111" s="8"/>
      <c r="K111" s="9"/>
      <c r="L111" s="9"/>
      <c r="M111" s="9"/>
      <c r="N111" s="9"/>
      <c r="O111" s="9"/>
      <c r="P111" s="9"/>
      <c r="Q111" s="9"/>
    </row>
    <row r="112" spans="1:17" ht="21" customHeight="1">
      <c r="A112" s="30" t="n">
        <v>8</v>
      </c>
      <c r="B112" s="48">
        <f>IF(A112&lt;=$C$36,0,$C$30)</f>
        <v>1400</v>
      </c>
      <c r="C112" s="48">
        <f>($C$24+$C$25+$C$27)/12</f>
        <v>621.887333333333004</v>
      </c>
      <c r="D112" s="48">
        <f>B112-C112</f>
        <v>778.112666666666996</v>
      </c>
      <c r="E112" s="48">
        <f>$C$44+$C$45</f>
        <v>721.502267444926019</v>
      </c>
      <c r="F112" s="48">
        <f>D112-E112</f>
        <v>56.6103992217409981</v>
      </c>
      <c r="G112" s="30" t="str">
        <f>IF(B112=0,"Vacant / turn month","Occupied month")</f>
        <v>Occupied month</v>
      </c>
      <c r="H112" s="8"/>
      <c r="I112" s="8"/>
      <c r="J112" s="8"/>
      <c r="K112" s="9"/>
      <c r="L112" s="9"/>
      <c r="M112" s="9"/>
      <c r="N112" s="9"/>
      <c r="O112" s="9"/>
      <c r="P112" s="9"/>
      <c r="Q112" s="9"/>
    </row>
    <row r="113" spans="1:17" ht="21" customHeight="1">
      <c r="A113" s="30" t="n">
        <v>9</v>
      </c>
      <c r="B113" s="48">
        <f>IF(A113&lt;=$C$36,0,$C$30)</f>
        <v>1400</v>
      </c>
      <c r="C113" s="48">
        <f>($C$24+$C$25+$C$27)/12</f>
        <v>621.887333333333004</v>
      </c>
      <c r="D113" s="48">
        <f>B113-C113</f>
        <v>778.112666666666996</v>
      </c>
      <c r="E113" s="48">
        <f>$C$44+$C$45</f>
        <v>721.502267444926019</v>
      </c>
      <c r="F113" s="48">
        <f>D113-E113</f>
        <v>56.6103992217409981</v>
      </c>
      <c r="G113" s="30" t="str">
        <f>IF(B113=0,"Vacant / turn month","Occupied month")</f>
        <v>Occupied month</v>
      </c>
      <c r="H113" s="8"/>
      <c r="I113" s="8"/>
      <c r="J113" s="8"/>
      <c r="K113" s="9"/>
      <c r="L113" s="9"/>
      <c r="M113" s="9"/>
      <c r="N113" s="9"/>
      <c r="O113" s="9"/>
      <c r="P113" s="9"/>
      <c r="Q113" s="9"/>
    </row>
    <row r="114" spans="1:17" ht="21" customHeight="1">
      <c r="A114" s="30" t="n">
        <v>10</v>
      </c>
      <c r="B114" s="48">
        <f>IF(A114&lt;=$C$36,0,$C$30)</f>
        <v>1400</v>
      </c>
      <c r="C114" s="48">
        <f>($C$24+$C$25+$C$27)/12</f>
        <v>621.887333333333004</v>
      </c>
      <c r="D114" s="48">
        <f>B114-C114</f>
        <v>778.112666666666996</v>
      </c>
      <c r="E114" s="48">
        <f>$C$44+$C$45</f>
        <v>721.502267444926019</v>
      </c>
      <c r="F114" s="48">
        <f>D114-E114</f>
        <v>56.6103992217409981</v>
      </c>
      <c r="G114" s="30" t="str">
        <f>IF(B114=0,"Vacant / turn month","Occupied month")</f>
        <v>Occupied month</v>
      </c>
      <c r="H114" s="8"/>
      <c r="I114" s="8"/>
      <c r="J114" s="8"/>
      <c r="K114" s="9"/>
      <c r="L114" s="9"/>
      <c r="M114" s="9"/>
      <c r="N114" s="9"/>
      <c r="O114" s="9"/>
      <c r="P114" s="9"/>
      <c r="Q114" s="9"/>
    </row>
    <row r="115" spans="1:17" ht="21" customHeight="1">
      <c r="A115" s="30" t="n">
        <v>11</v>
      </c>
      <c r="B115" s="48">
        <f>IF(A115&lt;=$C$36,0,$C$30)</f>
        <v>1400</v>
      </c>
      <c r="C115" s="48">
        <f>($C$24+$C$25+$C$27)/12</f>
        <v>621.887333333333004</v>
      </c>
      <c r="D115" s="48">
        <f>B115-C115</f>
        <v>778.112666666666996</v>
      </c>
      <c r="E115" s="48">
        <f>$C$44+$C$45</f>
        <v>721.502267444926019</v>
      </c>
      <c r="F115" s="48">
        <f>D115-E115</f>
        <v>56.6103992217409981</v>
      </c>
      <c r="G115" s="30" t="str">
        <f>IF(B115=0,"Vacant / turn month","Occupied month")</f>
        <v>Occupied month</v>
      </c>
      <c r="H115" s="8"/>
      <c r="I115" s="8"/>
      <c r="J115" s="8"/>
      <c r="K115" s="9"/>
      <c r="L115" s="9"/>
      <c r="M115" s="9"/>
      <c r="N115" s="9"/>
      <c r="O115" s="9"/>
      <c r="P115" s="9"/>
      <c r="Q115" s="9"/>
    </row>
    <row r="116" spans="1:17" ht="21" customHeight="1">
      <c r="A116" s="30" t="n">
        <v>12</v>
      </c>
      <c r="B116" s="48">
        <f>IF(A116&lt;=$C$36,0,$C$30)</f>
        <v>1400</v>
      </c>
      <c r="C116" s="48">
        <f>($C$24+$C$25+$C$27)/12</f>
        <v>621.887333333333004</v>
      </c>
      <c r="D116" s="48">
        <f>B116-C116</f>
        <v>778.112666666666996</v>
      </c>
      <c r="E116" s="48">
        <f>$C$44+$C$45</f>
        <v>721.502267444926019</v>
      </c>
      <c r="F116" s="48">
        <f>D116-E116</f>
        <v>56.6103992217409981</v>
      </c>
      <c r="G116" s="30" t="str">
        <f>IF(B116=0,"Vacant / turn month","Occupied month")</f>
        <v>Occupied month</v>
      </c>
      <c r="H116" s="8"/>
      <c r="I116" s="8"/>
      <c r="J116" s="8"/>
      <c r="K116" s="9"/>
      <c r="L116" s="9"/>
      <c r="M116" s="9"/>
      <c r="N116" s="9"/>
      <c r="O116" s="9"/>
      <c r="P116" s="9"/>
      <c r="Q116" s="9"/>
    </row>
    <row r="117" spans="1:17" ht="21" customHeight="1">
      <c r="A117" s="57" t="s">
        <v>169</v>
      </c>
      <c r="B117" s="58">
        <f>SUM(B105:B116)</f>
        <v>12600</v>
      </c>
      <c r="C117" s="58">
        <f>SUM(C105:C116)</f>
        <v>7462.64800000000014</v>
      </c>
      <c r="D117" s="58">
        <f>SUM(D105:D116)</f>
        <v>5137.35199999999986</v>
      </c>
      <c r="E117" s="58">
        <f>SUM(E105:E116)</f>
        <v>8658.02720933911951</v>
      </c>
      <c r="F117" s="58">
        <f>SUM(F105:F116)</f>
        <v>-3520.6752093391101</v>
      </c>
      <c r="G117" s="57"/>
      <c r="H117" s="8"/>
      <c r="I117" s="8"/>
      <c r="J117" s="8"/>
      <c r="K117" s="9"/>
      <c r="L117" s="9"/>
      <c r="M117" s="9"/>
      <c r="N117" s="9"/>
      <c r="O117" s="9"/>
      <c r="P117" s="9"/>
      <c r="Q117" s="9"/>
    </row>
    <row r="120" spans="2:9">
      <c r="B120" t="s">
        <v>170</v>
      </c>
      <c r="D120">
        <f>D76+D77</f>
        <v>1462.64799999999991</v>
      </c>
      <c r="E120">
        <f>E76+E77</f>
        <v>1463.08679439999992</v>
      </c>
      <c r="F120">
        <f>F76+F77</f>
        <v>1463.52572043831992</v>
      </c>
      <c r="G120">
        <f>G76+G77</f>
        <v>1463.96477815444996</v>
      </c>
      <c r="H120">
        <f>H76+H77</f>
        <v>1464.40396758790007</v>
      </c>
      <c r="I120">
        <f>I76+I77</f>
        <v>1464.84328877818007</v>
      </c>
    </row>
  </sheetData>
  <sheetProtection password="EAB8" sheet="1" autoFilter="0"/>
  <mergeCells count="17">
    <mergeCell ref="A1:I1"/>
    <mergeCell ref="A2:I2"/>
    <mergeCell ref="A4:I4"/>
    <mergeCell ref="G15:H15"/>
    <mergeCell ref="A18:I18"/>
    <mergeCell ref="A22:I22"/>
    <mergeCell ref="A29:I29"/>
    <mergeCell ref="A35:I35"/>
    <mergeCell ref="A39:I39"/>
    <mergeCell ref="A43:I43"/>
    <mergeCell ref="E52:L52"/>
    <mergeCell ref="E53:L53"/>
    <mergeCell ref="E54:L54"/>
    <mergeCell ref="E55:L55"/>
    <mergeCell ref="A57:I57"/>
    <mergeCell ref="A67:I67"/>
    <mergeCell ref="A73:I73"/>
  </mergeCells>
  <conditionalFormatting sqref="C63">
    <cfRule type="expression" dxfId="0" priority="1" stopIfTrue="1">
      <formula>$C$63&gt;=1.25</formula>
    </cfRule>
  </conditionalFormatting>
  <conditionalFormatting sqref="C63">
    <cfRule type="expression" dxfId="1" priority="2" stopIfTrue="1">
      <formula>AND($C$63&gt;=1,$C$63&lt;1.25)</formula>
    </cfRule>
  </conditionalFormatting>
  <conditionalFormatting sqref="C63">
    <cfRule type="expression" dxfId="2" priority="3" stopIfTrue="1">
      <formula>$C$63&lt;1</formula>
    </cfRule>
  </conditionalFormatting>
  <conditionalFormatting sqref="F47">
    <cfRule type="expression" dxfId="3" priority="4" stopIfTrue="1">
      <formula>$F$47&gt;=1.25</formula>
    </cfRule>
  </conditionalFormatting>
  <conditionalFormatting sqref="F47">
    <cfRule type="expression" dxfId="4" priority="5" stopIfTrue="1">
      <formula>AND($F$47&gt;=1,$F$47&lt;1.25)</formula>
    </cfRule>
  </conditionalFormatting>
  <conditionalFormatting sqref="F47">
    <cfRule type="expression" dxfId="5" priority="6" stopIfTrue="1">
      <formula>$F$47&lt;1</formula>
    </cfRule>
  </conditionalFormatting>
  <printOptions>
    <extLst>
      <ext uri="smNativeData">
        <pm:pageFlags xmlns:pm="smNativeData" id="177560709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5607099" l="56" r="56" t="56" b="56" borderId="0" fillId="0" vertical="0"/>
        <pm:footer xmlns:pm="smNativeData" id="1775607099" l="56" r="56" t="56" b="56" borderId="0" fillId="0" vertical="2"/>
        <pm:paperBin xmlns:pm="smNativeData" id="1775607099" Id="0" type="0" value="0"/>
        <pm:paperBin xmlns:pm="smNativeData" id="1775607099" Id="1" type="0" value="0"/>
      </ext>
    </extLst>
  </headerFooter>
  <drawing r:id="rId1"/>
  <extLst>
    <ext uri="smNativeData">
      <pm:sheetPrefs xmlns:pm="smNativeData" day="17756070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24"/>
  <sheetViews>
    <sheetView view="normal" workbookViewId="0">
      <selection activeCell="A3" sqref="A3"/>
    </sheetView>
  </sheetViews>
  <sheetFormatPr defaultRowHeight="15.40"/>
  <cols>
    <col min="1" max="1" width="14.000000" customWidth="1" style="6"/>
    <col min="2" max="2" width="28.000000" customWidth="1" style="6"/>
    <col min="3" max="3" width="30.000000" customWidth="1" style="6"/>
    <col min="4" max="4" width="33.000000" customWidth="1" style="6"/>
    <col min="5" max="5" width="12.000000" customWidth="1" style="6"/>
  </cols>
  <sheetData>
    <row r="1" spans="1:1" ht="24" customHeight="1">
      <c r="A1" s="31" t="s">
        <v>171</v>
      </c>
    </row>
    <row r="2" spans="1:1" ht="33.75" customHeight="1">
      <c r="A2" s="32" t="s">
        <v>172</v>
      </c>
    </row>
    <row r="4" spans="1:5" ht="15" customHeight="1">
      <c r="A4" s="33" t="s">
        <v>173</v>
      </c>
      <c r="B4" s="33"/>
      <c r="C4" s="33"/>
      <c r="D4" s="33"/>
      <c r="E4" s="33"/>
    </row>
    <row r="5" spans="1:5" ht="15" customHeight="1">
      <c r="A5" s="34" t="s">
        <v>174</v>
      </c>
      <c r="B5" s="35" t="e">
        <f>#REF!</f>
        <v>#REF!</v>
      </c>
      <c r="C5" s="6" t="s">
        <v>175</v>
      </c>
      <c r="D5" s="6" t="s">
        <v>176</v>
      </c>
      <c r="E5" s="6" t="s">
        <v>177</v>
      </c>
    </row>
    <row r="6" spans="1:5" ht="15" customHeight="1">
      <c r="A6" s="34" t="s">
        <v>178</v>
      </c>
      <c r="B6" s="35" t="e">
        <f>#REF!</f>
        <v>#REF!</v>
      </c>
      <c r="C6" s="6" t="s">
        <v>179</v>
      </c>
      <c r="D6" s="6" t="s">
        <v>180</v>
      </c>
      <c r="E6" s="6" t="s">
        <v>181</v>
      </c>
    </row>
    <row r="7" spans="1:5" ht="15" customHeight="1">
      <c r="A7" s="34" t="s">
        <v>182</v>
      </c>
      <c r="B7" s="36" t="e">
        <f>#REF!</f>
        <v>#REF!</v>
      </c>
      <c r="C7" s="6" t="s">
        <v>183</v>
      </c>
      <c r="D7" s="6" t="s">
        <v>184</v>
      </c>
      <c r="E7" s="6" t="s">
        <v>185</v>
      </c>
    </row>
    <row r="8" spans="1:5" ht="15" customHeight="1">
      <c r="A8" s="34" t="s">
        <v>186</v>
      </c>
      <c r="B8" s="35" t="e">
        <f>#REF!</f>
        <v>#REF!</v>
      </c>
      <c r="C8" s="6" t="s">
        <v>187</v>
      </c>
      <c r="D8" s="6" t="s">
        <v>188</v>
      </c>
      <c r="E8" s="6" t="s">
        <v>189</v>
      </c>
    </row>
    <row r="9" spans="1:5" ht="15" customHeight="1">
      <c r="A9" s="34" t="s">
        <v>190</v>
      </c>
      <c r="B9" s="37" t="e">
        <f>#REF!</f>
        <v>#REF!</v>
      </c>
      <c r="C9" s="6" t="s">
        <v>191</v>
      </c>
      <c r="D9" s="6" t="s">
        <v>192</v>
      </c>
      <c r="E9" s="6" t="s">
        <v>193</v>
      </c>
    </row>
    <row r="11" spans="1:5" ht="15" customHeight="1">
      <c r="A11" s="38" t="s">
        <v>194</v>
      </c>
      <c r="B11" s="38" t="s">
        <v>195</v>
      </c>
      <c r="C11" s="38" t="s">
        <v>196</v>
      </c>
      <c r="D11" s="38" t="s">
        <v>197</v>
      </c>
      <c r="E11" s="38" t="s">
        <v>198</v>
      </c>
    </row>
    <row r="12" spans="1:5" ht="42" customHeight="1">
      <c r="A12" s="39" t="s">
        <v>199</v>
      </c>
      <c r="B12" s="39" t="s">
        <v>200</v>
      </c>
      <c r="C12" s="39" t="s">
        <v>201</v>
      </c>
      <c r="D12" s="39" t="s">
        <v>202</v>
      </c>
      <c r="E12" s="39" t="s">
        <v>203</v>
      </c>
    </row>
    <row r="13" spans="1:5" ht="42" customHeight="1">
      <c r="A13" s="39" t="s">
        <v>204</v>
      </c>
      <c r="B13" s="39" t="s">
        <v>205</v>
      </c>
      <c r="C13" s="39" t="s">
        <v>206</v>
      </c>
      <c r="D13" s="39" t="s">
        <v>207</v>
      </c>
      <c r="E13" s="39" t="s">
        <v>208</v>
      </c>
    </row>
    <row r="14" spans="1:5" ht="42" customHeight="1">
      <c r="A14" s="39" t="s">
        <v>209</v>
      </c>
      <c r="B14" s="39" t="s">
        <v>210</v>
      </c>
      <c r="C14" s="39" t="s">
        <v>211</v>
      </c>
      <c r="D14" s="39" t="s">
        <v>212</v>
      </c>
      <c r="E14" s="39" t="s">
        <v>213</v>
      </c>
    </row>
    <row r="15" spans="1:5" ht="42" customHeight="1">
      <c r="A15" s="39" t="s">
        <v>214</v>
      </c>
      <c r="B15" s="39" t="s">
        <v>215</v>
      </c>
      <c r="C15" s="39" t="s">
        <v>216</v>
      </c>
      <c r="D15" s="39" t="s">
        <v>217</v>
      </c>
      <c r="E15" s="39" t="s">
        <v>218</v>
      </c>
    </row>
    <row r="16" spans="1:5" ht="42" customHeight="1">
      <c r="A16" s="39" t="s">
        <v>219</v>
      </c>
      <c r="B16" s="39" t="s">
        <v>220</v>
      </c>
      <c r="C16" s="39" t="s">
        <v>221</v>
      </c>
      <c r="D16" s="39" t="s">
        <v>222</v>
      </c>
      <c r="E16" s="39" t="s">
        <v>223</v>
      </c>
    </row>
    <row r="17" spans="1:5" ht="42" customHeight="1">
      <c r="A17" s="39" t="s">
        <v>224</v>
      </c>
      <c r="B17" s="39" t="s">
        <v>225</v>
      </c>
      <c r="C17" s="39" t="s">
        <v>226</v>
      </c>
      <c r="D17" s="39" t="s">
        <v>227</v>
      </c>
      <c r="E17" s="39" t="s">
        <v>228</v>
      </c>
    </row>
    <row r="18" spans="1:5" ht="42" customHeight="1">
      <c r="A18" s="39" t="s">
        <v>229</v>
      </c>
      <c r="B18" s="39" t="s">
        <v>230</v>
      </c>
      <c r="C18" s="39" t="s">
        <v>231</v>
      </c>
      <c r="D18" s="39" t="s">
        <v>232</v>
      </c>
      <c r="E18" s="39" t="s">
        <v>233</v>
      </c>
    </row>
    <row r="19" spans="1:5" ht="42" customHeight="1">
      <c r="A19" s="39" t="s">
        <v>234</v>
      </c>
      <c r="B19" s="39" t="s">
        <v>235</v>
      </c>
      <c r="C19" s="39" t="s">
        <v>236</v>
      </c>
      <c r="D19" s="39" t="s">
        <v>237</v>
      </c>
      <c r="E19" s="39" t="s">
        <v>238</v>
      </c>
    </row>
    <row r="21" spans="1:1" ht="15" customHeight="1">
      <c r="A21" s="40"/>
    </row>
    <row r="22" spans="1:1" ht="15" customHeight="1"/>
    <row r="23" spans="1:1" ht="15" customHeight="1"/>
    <row r="24" spans="1:1" ht="15" customHeight="1"/>
  </sheetData>
  <mergeCells count="3">
    <mergeCell ref="A1:E1"/>
    <mergeCell ref="A2:E2"/>
    <mergeCell ref="A21:E24"/>
  </mergeCells>
  <conditionalFormatting sqref="E12:E19">
    <cfRule type="expression" dxfId="6" priority="1">
      <formula>E12="High"</formula>
    </cfRule>
  </conditionalFormatting>
  <conditionalFormatting sqref="E12:E19">
    <cfRule type="expression" dxfId="7" priority="2">
      <formula>E12="Medium"</formula>
    </cfRule>
  </conditionalFormatting>
  <conditionalFormatting sqref="E12:E19">
    <cfRule type="expression" dxfId="8" priority="3">
      <formula>E12="Low"</formula>
    </cfRule>
  </conditionalFormatting>
  <printOptions>
    <extLst>
      <ext uri="smNativeData">
        <pm:pageFlags xmlns:pm="smNativeData" id="177560709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5607099" l="56" r="56" t="56" b="56" borderId="0" fillId="0" vertical="0"/>
        <pm:footer xmlns:pm="smNativeData" id="1775607099" l="56" r="56" t="56" b="56" borderId="0" fillId="0" vertical="2"/>
        <pm:paperBin xmlns:pm="smNativeData" id="1775607099" Id="0" type="0" value="0"/>
        <pm:paperBin xmlns:pm="smNativeData" id="1775607099" Id="1" type="0" value="0"/>
      </ext>
    </extLst>
  </headerFooter>
  <extLst>
    <ext uri="smNativeData">
      <pm:sheetPrefs xmlns:pm="smNativeData" day="17756070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jsrd</cp:lastModifiedBy>
  <cp:revision>0</cp:revision>
  <dcterms:created xsi:type="dcterms:W3CDTF">2026-03-31T21:03:43Z</dcterms:created>
  <dcterms:modified xsi:type="dcterms:W3CDTF">2026-04-08T00:11:39Z</dcterms:modified>
</cp:coreProperties>
</file>